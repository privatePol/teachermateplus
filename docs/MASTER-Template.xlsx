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onfig" sheetId="1" r:id="rId5"/>
    <sheet state="visible" name="Prelim" sheetId="2" r:id="rId6"/>
    <sheet state="visible" name="Midterm" sheetId="3" r:id="rId7"/>
    <sheet state="visible" name="PreFinal" sheetId="4" r:id="rId8"/>
    <sheet state="visible" name="Summary" sheetId="5" r:id="rId9"/>
  </sheets>
  <definedNames/>
  <calcPr/>
</workbook>
</file>

<file path=xl/sharedStrings.xml><?xml version="1.0" encoding="utf-8"?>
<sst xmlns="http://schemas.openxmlformats.org/spreadsheetml/2006/main" count="265" uniqueCount="104">
  <si>
    <t>NATIONAL COLLEGE OF BUSINESS AND ARTS</t>
  </si>
  <si>
    <t>TABULATION CONFIG</t>
  </si>
  <si>
    <t>COURSE CODE</t>
  </si>
  <si>
    <t>IS303</t>
  </si>
  <si>
    <t>COURSE TITLE</t>
  </si>
  <si>
    <t>INFO SEC</t>
  </si>
  <si>
    <t>UNITS</t>
  </si>
  <si>
    <t>PRELIM</t>
  </si>
  <si>
    <t>PG</t>
  </si>
  <si>
    <t>MIDTERM</t>
  </si>
  <si>
    <t>MG</t>
  </si>
  <si>
    <t>PREFINAL</t>
  </si>
  <si>
    <t>MAJOR EXAM</t>
  </si>
  <si>
    <t>CLASS STANDING</t>
  </si>
  <si>
    <t>QUIZZES</t>
  </si>
  <si>
    <t>PARTICIPATION/OUTPUT</t>
  </si>
  <si>
    <t>Recitation</t>
  </si>
  <si>
    <t>Assignment</t>
  </si>
  <si>
    <t>Activity</t>
  </si>
  <si>
    <t>Oral presentation</t>
  </si>
  <si>
    <t>Participation/Output Total</t>
  </si>
  <si>
    <t>TOTALS</t>
  </si>
  <si>
    <t>TRANSMUTATION TABLE
10pt System</t>
  </si>
  <si>
    <t xml:space="preserve">            National College of Business and arts</t>
  </si>
  <si>
    <t>&lt;Type Campus here&gt;</t>
  </si>
  <si>
    <t>PRELIMS TABULATION SHEET</t>
  </si>
  <si>
    <t>SEM/SY</t>
  </si>
  <si>
    <t>&lt;TYPE SEM/SY HERE&gt;</t>
  </si>
  <si>
    <t>SUBJECT CODE</t>
  </si>
  <si>
    <t>DAY</t>
  </si>
  <si>
    <t>SUBJECT TITLE</t>
  </si>
  <si>
    <t>TIME</t>
  </si>
  <si>
    <t>ROOM</t>
  </si>
  <si>
    <t>Submitted by:</t>
  </si>
  <si>
    <t>&lt;TYPE YOUR FULL NAME HERE&gt;</t>
  </si>
  <si>
    <t>Received by:</t>
  </si>
  <si>
    <t>Signature Over Printed Name       |              Date</t>
  </si>
  <si>
    <t>Signature Over Printed Name    |     Date</t>
  </si>
  <si>
    <t>STUDENTS NAME</t>
  </si>
  <si>
    <t>P R E L I M</t>
  </si>
  <si>
    <t>PARTICIPATION / OUTPUT</t>
  </si>
  <si>
    <t>Major
Exam</t>
  </si>
  <si>
    <t>Remarks</t>
  </si>
  <si>
    <t>RECITATIONS</t>
  </si>
  <si>
    <t>ASSIGNMENTS</t>
  </si>
  <si>
    <t>ACTIVITIES</t>
  </si>
  <si>
    <t>Q1</t>
  </si>
  <si>
    <t>Q2</t>
  </si>
  <si>
    <t>Q3</t>
  </si>
  <si>
    <t>Q4</t>
  </si>
  <si>
    <t>Q5</t>
  </si>
  <si>
    <t>R1%</t>
  </si>
  <si>
    <t>R2%</t>
  </si>
  <si>
    <t>R3%</t>
  </si>
  <si>
    <t>R4%</t>
  </si>
  <si>
    <t>A1%</t>
  </si>
  <si>
    <t>A2%</t>
  </si>
  <si>
    <t>A3%</t>
  </si>
  <si>
    <t>A4%</t>
  </si>
  <si>
    <t>AC1%</t>
  </si>
  <si>
    <t>AC2%</t>
  </si>
  <si>
    <t>AC3%</t>
  </si>
  <si>
    <t>AC4%</t>
  </si>
  <si>
    <t>score</t>
  </si>
  <si>
    <t>&lt;date&gt;</t>
  </si>
  <si>
    <t>AAAA</t>
  </si>
  <si>
    <t>BBBBB</t>
  </si>
  <si>
    <t>**** NONE FOLLOWS**</t>
  </si>
  <si>
    <t>MIDTERMS TABULATION SHEET</t>
  </si>
  <si>
    <t>RECITATION</t>
  </si>
  <si>
    <t>ASSIGNMENT</t>
  </si>
  <si>
    <t>Submitted by</t>
  </si>
  <si>
    <t>Signature over printed name</t>
  </si>
  <si>
    <t>Date</t>
  </si>
  <si>
    <t>Noted by</t>
  </si>
  <si>
    <t>FINALS TABULATION SHEET</t>
  </si>
  <si>
    <t>PRE-FINAL</t>
  </si>
  <si>
    <t>FX</t>
  </si>
  <si>
    <t>ORAL
PRES</t>
  </si>
  <si>
    <t>National College of Business and Arts</t>
  </si>
  <si>
    <t>TABULATION SHEET SUMMARY</t>
  </si>
  <si>
    <t>FINALS</t>
  </si>
  <si>
    <t>EXAM</t>
  </si>
  <si>
    <t>GRADE</t>
  </si>
  <si>
    <t>10Pt
Equiv</t>
  </si>
  <si>
    <t>10pt
Equiv</t>
  </si>
  <si>
    <t>FG</t>
  </si>
  <si>
    <t>CA</t>
  </si>
  <si>
    <t>PARTICIPATION</t>
  </si>
  <si>
    <t>PQ1</t>
  </si>
  <si>
    <t>PQ2</t>
  </si>
  <si>
    <t>PQ3</t>
  </si>
  <si>
    <t>PQ4</t>
  </si>
  <si>
    <t>PQ5</t>
  </si>
  <si>
    <t>MQ1</t>
  </si>
  <si>
    <t>MQ2</t>
  </si>
  <si>
    <t>MQ3</t>
  </si>
  <si>
    <t>MQ4</t>
  </si>
  <si>
    <t>MQ5</t>
  </si>
  <si>
    <t>FQ1</t>
  </si>
  <si>
    <t>FQ2</t>
  </si>
  <si>
    <t>FQ3</t>
  </si>
  <si>
    <t>FQ4</t>
  </si>
  <si>
    <t>FQ5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</si>
</sst>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0.00;0.00;;@"/>
  </numFmts>
  <fonts count="53">
    <font>
      <sz val="11.0"/>
      <color theme="1"/>
      <name val="Calibri"/>
      <scheme val="minor"/>
    </font>
    <font>
      <color theme="1"/>
      <name val="Calibri"/>
      <scheme val="minor"/>
    </font>
    <font/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1.0"/>
      <color rgb="FF000000"/>
      <name val="Calibri"/>
    </font>
    <font>
      <b/>
      <sz val="11.0"/>
      <color rgb="FF000000"/>
      <name val="Arial"/>
    </font>
    <font>
      <b/>
      <color rgb="FFFF0000"/>
      <name val="Arial"/>
    </font>
    <font>
      <b/>
      <sz val="11.0"/>
      <color theme="1"/>
      <name val="Calibri"/>
    </font>
    <font>
      <b/>
      <sz val="14.0"/>
      <color theme="1"/>
      <name val="Arial"/>
    </font>
    <font>
      <b/>
      <sz val="9.0"/>
      <color theme="1"/>
      <name val="Arial"/>
    </font>
    <font>
      <b/>
      <sz val="9.0"/>
      <color theme="1"/>
      <name val="Arial Narrow"/>
    </font>
    <font>
      <b/>
      <sz val="12.0"/>
      <color theme="1"/>
      <name val="Arial"/>
    </font>
    <font>
      <b/>
      <sz val="12.0"/>
      <color rgb="FFFF0000"/>
      <name val="Arial"/>
    </font>
    <font>
      <sz val="9.0"/>
      <color theme="1"/>
      <name val="Arial Narrow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1.0"/>
      <color rgb="FF000000"/>
      <name val="Arial"/>
    </font>
    <font>
      <sz val="11.0"/>
      <color rgb="FF000000"/>
      <name val="Arial Narrow"/>
    </font>
    <font>
      <sz val="12.0"/>
      <color theme="1"/>
      <name val="Arial"/>
    </font>
    <font>
      <sz val="12.0"/>
      <color theme="1"/>
      <name val="Arial Narrow"/>
    </font>
    <font>
      <b/>
      <sz val="12.0"/>
      <color rgb="FF000000"/>
      <name val="Arial"/>
    </font>
    <font>
      <b/>
      <sz val="14.0"/>
      <color rgb="FF000000"/>
      <name val="Arial"/>
    </font>
    <font>
      <b/>
      <sz val="10.0"/>
      <color rgb="FF000000"/>
      <name val="Verdana"/>
    </font>
    <font>
      <b/>
      <sz val="11.0"/>
      <color rgb="FF434343"/>
      <name val="Arial"/>
    </font>
    <font>
      <sz val="9.0"/>
      <color rgb="FF434343"/>
      <name val="Arial"/>
    </font>
    <font>
      <color rgb="FF434343"/>
      <name val="Calibri"/>
      <scheme val="minor"/>
    </font>
    <font>
      <sz val="8.0"/>
      <color rgb="FF000000"/>
      <name val="Verdana"/>
    </font>
    <font>
      <sz val="8.0"/>
      <color theme="1"/>
      <name val="Arial"/>
    </font>
    <font>
      <b/>
      <sz val="10.0"/>
      <color rgb="FFFF0000"/>
      <name val="Arial"/>
    </font>
    <font>
      <b/>
      <sz val="8.0"/>
      <color theme="1"/>
      <name val="Arial"/>
    </font>
    <font>
      <b/>
      <sz val="8.0"/>
      <color rgb="FF000000"/>
      <name val="Arial"/>
    </font>
    <font>
      <sz val="11.0"/>
      <color theme="1"/>
      <name val="Arial Narrow"/>
    </font>
    <font>
      <sz val="11.0"/>
      <color rgb="FF000000"/>
      <name val="Verdan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2.0"/>
      <color theme="1"/>
      <name val="Arial Narrow"/>
    </font>
    <font>
      <sz val="9.0"/>
      <color theme="1"/>
      <name val="&quot;Arial Narrow&quot;"/>
    </font>
    <font>
      <b/>
      <sz val="11.0"/>
      <color rgb="FF434343"/>
      <name val="Arial Narrow"/>
    </font>
    <font>
      <b/>
      <sz val="11.0"/>
      <color rgb="FF000000"/>
      <name val="Arial Narrow"/>
    </font>
    <font>
      <sz val="10.0"/>
      <color theme="1"/>
      <name val="Inconsolata"/>
    </font>
    <font>
      <b/>
      <sz val="11.0"/>
      <color theme="1"/>
      <name val="Inconsolata"/>
    </font>
    <font>
      <b/>
      <sz val="14.0"/>
      <color theme="1"/>
      <name val="Arial Narrow"/>
    </font>
    <font>
      <b/>
      <sz val="11.0"/>
      <color rgb="FF434343"/>
      <name val="Inconsolata"/>
    </font>
    <font>
      <b/>
      <sz val="12.0"/>
      <color rgb="FF434343"/>
      <name val="Inconsolata"/>
    </font>
    <font>
      <sz val="11.0"/>
      <color rgb="FF000000"/>
      <name val="Inconsolata"/>
    </font>
    <font>
      <sz val="12.0"/>
      <color rgb="FF000000"/>
      <name val="Arial Narrow"/>
    </font>
    <font>
      <b/>
      <sz val="12.0"/>
      <color rgb="FF00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BDBDBD"/>
        <bgColor rgb="FFBDBDBD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5" fillId="0" fontId="2" numFmtId="0" xfId="0" applyBorder="1" applyFont="1"/>
    <xf borderId="6" fillId="0" fontId="1" numFmtId="0" xfId="0" applyAlignment="1" applyBorder="1" applyFont="1">
      <alignment vertical="center"/>
    </xf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9" fillId="0" fontId="4" numFmtId="9" xfId="0" applyAlignment="1" applyBorder="1" applyFont="1" applyNumberFormat="1">
      <alignment readingOrder="0" vertical="center"/>
    </xf>
    <xf borderId="1" fillId="0" fontId="3" numFmtId="0" xfId="0" applyAlignment="1" applyBorder="1" applyFont="1">
      <alignment readingOrder="0" vertical="center"/>
    </xf>
    <xf borderId="9" fillId="0" fontId="1" numFmtId="0" xfId="0" applyAlignment="1" applyBorder="1" applyFont="1">
      <alignment horizontal="center" vertical="center"/>
    </xf>
    <xf borderId="9" fillId="0" fontId="4" numFmtId="9" xfId="0" applyAlignment="1" applyBorder="1" applyFont="1" applyNumberForma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vertical="center"/>
    </xf>
    <xf borderId="9" fillId="0" fontId="1" numFmtId="9" xfId="0" applyAlignment="1" applyBorder="1" applyFont="1" applyNumberFormat="1">
      <alignment horizontal="center" vertical="center"/>
    </xf>
    <xf borderId="10" fillId="0" fontId="1" numFmtId="9" xfId="0" applyAlignment="1" applyBorder="1" applyFont="1" applyNumberFormat="1">
      <alignment horizontal="center" readingOrder="0" vertical="center"/>
    </xf>
    <xf borderId="9" fillId="0" fontId="1" numFmtId="9" xfId="0" applyAlignment="1" applyBorder="1" applyFont="1" applyNumberFormat="1">
      <alignment horizontal="center" readingOrder="0" vertical="center"/>
    </xf>
    <xf borderId="9" fillId="0" fontId="4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9" fillId="0" fontId="1" numFmtId="0" xfId="0" applyAlignment="1" applyBorder="1" applyFont="1">
      <alignment readingOrder="0" vertical="center"/>
    </xf>
    <xf borderId="10" fillId="0" fontId="1" numFmtId="9" xfId="0" applyAlignment="1" applyBorder="1" applyFont="1" applyNumberFormat="1">
      <alignment horizontal="center" vertical="center"/>
    </xf>
    <xf borderId="9" fillId="0" fontId="1" numFmtId="9" xfId="0" applyAlignment="1" applyBorder="1" applyFont="1" applyNumberFormat="1">
      <alignment vertical="center"/>
    </xf>
    <xf borderId="12" fillId="0" fontId="2" numFmtId="0" xfId="0" applyBorder="1" applyFont="1"/>
    <xf borderId="13" fillId="0" fontId="4" numFmtId="9" xfId="0" applyAlignment="1" applyBorder="1" applyFont="1" applyNumberFormat="1">
      <alignment vertical="center"/>
    </xf>
    <xf borderId="9" fillId="0" fontId="4" numFmtId="9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1" fillId="0" fontId="5" numFmtId="0" xfId="0" applyAlignment="1" applyBorder="1" applyFont="1">
      <alignment horizontal="center" readingOrder="0" vertical="bottom"/>
    </xf>
    <xf borderId="9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right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2" fontId="14" numFmtId="0" xfId="0" applyAlignment="1" applyFill="1" applyFont="1">
      <alignment readingOrder="0" vertical="center"/>
    </xf>
    <xf borderId="0" fillId="0" fontId="15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left" shrinkToFit="0" vertical="bottom" wrapText="0"/>
    </xf>
    <xf borderId="1" fillId="0" fontId="17" numFmtId="0" xfId="0" applyAlignment="1" applyBorder="1" applyFont="1">
      <alignment shrinkToFit="0" vertical="center" wrapText="0"/>
    </xf>
    <xf borderId="1" fillId="2" fontId="17" numFmtId="0" xfId="0" applyAlignment="1" applyBorder="1" applyFont="1">
      <alignment horizontal="left" vertical="center"/>
    </xf>
    <xf borderId="1" fillId="2" fontId="17" numFmtId="0" xfId="0" applyAlignment="1" applyBorder="1" applyFont="1">
      <alignment readingOrder="0" vertical="center"/>
    </xf>
    <xf borderId="2" fillId="0" fontId="18" numFmtId="0" xfId="0" applyAlignment="1" applyBorder="1" applyFont="1">
      <alignment horizontal="left" readingOrder="0" shrinkToFit="0" vertical="center" wrapText="0"/>
    </xf>
    <xf borderId="9" fillId="0" fontId="16" numFmtId="0" xfId="0" applyAlignment="1" applyBorder="1" applyFont="1">
      <alignment horizontal="left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2" fontId="18" numFmtId="0" xfId="0" applyAlignment="1" applyBorder="1" applyFont="1">
      <alignment horizontal="left" vertical="center"/>
    </xf>
    <xf borderId="2" fillId="2" fontId="19" numFmtId="1" xfId="0" applyAlignment="1" applyBorder="1" applyFont="1" applyNumberFormat="1">
      <alignment horizontal="left" readingOrder="0" vertical="center"/>
    </xf>
    <xf borderId="9" fillId="0" fontId="16" numFmtId="2" xfId="0" applyAlignment="1" applyBorder="1" applyFont="1" applyNumberFormat="1">
      <alignment horizontal="left" shrinkToFit="0" vertical="center" wrapText="0"/>
    </xf>
    <xf borderId="0" fillId="0" fontId="16" numFmtId="2" xfId="0" applyAlignment="1" applyFont="1" applyNumberFormat="1">
      <alignment horizontal="left" shrinkToFit="0" vertical="bottom" wrapText="0"/>
    </xf>
    <xf borderId="1" fillId="0" fontId="17" numFmtId="0" xfId="0" applyAlignment="1" applyBorder="1" applyFont="1">
      <alignment vertical="center"/>
    </xf>
    <xf borderId="3" fillId="0" fontId="17" numFmtId="0" xfId="0" applyAlignment="1" applyBorder="1" applyFont="1">
      <alignment vertical="center"/>
    </xf>
    <xf borderId="1" fillId="2" fontId="20" numFmtId="2" xfId="0" applyAlignment="1" applyBorder="1" applyFont="1" applyNumberFormat="1">
      <alignment horizontal="left" vertical="center"/>
    </xf>
    <xf borderId="1" fillId="2" fontId="21" numFmtId="0" xfId="0" applyAlignment="1" applyBorder="1" applyFont="1">
      <alignment readingOrder="0" vertical="center"/>
    </xf>
    <xf borderId="7" fillId="2" fontId="22" numFmtId="0" xfId="0" applyAlignment="1" applyBorder="1" applyFont="1">
      <alignment readingOrder="0" vertical="center"/>
    </xf>
    <xf borderId="1" fillId="3" fontId="23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vertical="center"/>
    </xf>
    <xf borderId="7" fillId="0" fontId="14" numFmtId="0" xfId="0" applyAlignment="1" applyBorder="1" applyFont="1">
      <alignment horizontal="center" readingOrder="0" shrinkToFit="0" vertical="center" wrapText="0"/>
    </xf>
    <xf borderId="6" fillId="0" fontId="2" numFmtId="0" xfId="0" applyBorder="1" applyFont="1"/>
    <xf borderId="7" fillId="0" fontId="24" numFmtId="0" xfId="0" applyAlignment="1" applyBorder="1" applyFont="1">
      <alignment horizontal="center"/>
    </xf>
    <xf borderId="7" fillId="0" fontId="24" numFmtId="0" xfId="0" applyAlignment="1" applyBorder="1" applyFont="1">
      <alignment horizontal="center"/>
    </xf>
    <xf borderId="14" fillId="0" fontId="23" numFmtId="0" xfId="0" applyAlignment="1" applyBorder="1" applyFont="1">
      <alignment horizontal="center" shrinkToFit="0" vertical="center" wrapText="0"/>
    </xf>
    <xf borderId="15" fillId="0" fontId="2" numFmtId="0" xfId="0" applyBorder="1" applyFont="1"/>
    <xf borderId="1" fillId="4" fontId="14" numFmtId="0" xfId="0" applyAlignment="1" applyBorder="1" applyFill="1" applyFont="1">
      <alignment horizontal="center" readingOrder="0" shrinkToFit="0" vertical="center" wrapText="0"/>
    </xf>
    <xf borderId="1" fillId="3" fontId="14" numFmtId="0" xfId="0" applyAlignment="1" applyBorder="1" applyFont="1">
      <alignment horizontal="center" readingOrder="0" shrinkToFit="0" vertical="center" wrapText="0"/>
    </xf>
    <xf borderId="1" fillId="3" fontId="25" numFmtId="0" xfId="0" applyAlignment="1" applyBorder="1" applyFont="1">
      <alignment horizontal="center" readingOrder="0" vertical="center"/>
    </xf>
    <xf borderId="9" fillId="3" fontId="25" numFmtId="0" xfId="0" applyAlignment="1" applyBorder="1" applyFont="1">
      <alignment horizontal="center" readingOrder="0" shrinkToFit="0" vertical="center" wrapText="1"/>
    </xf>
    <xf borderId="9" fillId="3" fontId="8" numFmtId="0" xfId="0" applyAlignment="1" applyBorder="1" applyFont="1">
      <alignment horizontal="center" readingOrder="0" vertical="center"/>
    </xf>
    <xf borderId="0" fillId="4" fontId="26" numFmtId="0" xfId="0" applyAlignment="1" applyFont="1">
      <alignment horizontal="center" readingOrder="0" vertical="center"/>
    </xf>
    <xf borderId="0" fillId="4" fontId="1" numFmtId="0" xfId="0" applyFont="1"/>
    <xf borderId="9" fillId="0" fontId="16" numFmtId="1" xfId="0" applyAlignment="1" applyBorder="1" applyFont="1" applyNumberFormat="1">
      <alignment horizontal="center" shrinkToFit="0" vertical="center" wrapText="0"/>
    </xf>
    <xf borderId="9" fillId="0" fontId="27" numFmtId="0" xfId="0" applyAlignment="1" applyBorder="1" applyFont="1">
      <alignment horizontal="right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0"/>
    </xf>
    <xf borderId="1" fillId="3" fontId="28" numFmtId="0" xfId="0" applyAlignment="1" applyBorder="1" applyFont="1">
      <alignment horizontal="center" readingOrder="0" shrinkToFit="0" vertical="center" wrapText="0"/>
    </xf>
    <xf borderId="1" fillId="3" fontId="28" numFmtId="0" xfId="0" applyAlignment="1" applyBorder="1" applyFont="1">
      <alignment horizontal="center" readingOrder="0" vertical="center"/>
    </xf>
    <xf borderId="9" fillId="0" fontId="25" numFmtId="0" xfId="0" applyAlignment="1" applyBorder="1" applyFont="1">
      <alignment horizontal="center" readingOrder="0" shrinkToFit="0" vertical="center" wrapText="1"/>
    </xf>
    <xf borderId="9" fillId="0" fontId="29" numFmtId="0" xfId="0" applyAlignment="1" applyBorder="1" applyFont="1">
      <alignment horizontal="center" readingOrder="0" shrinkToFit="0" vertical="center" wrapText="0"/>
    </xf>
    <xf borderId="9" fillId="0" fontId="29" numFmtId="0" xfId="0" applyAlignment="1" applyBorder="1" applyFont="1">
      <alignment readingOrder="0" shrinkToFit="0" vertical="center" wrapText="0"/>
    </xf>
    <xf borderId="9" fillId="0" fontId="29" numFmtId="0" xfId="0" applyAlignment="1" applyBorder="1" applyFont="1">
      <alignment horizontal="center" readingOrder="0" vertical="center"/>
    </xf>
    <xf borderId="9" fillId="0" fontId="30" numFmtId="0" xfId="0" applyAlignment="1" applyBorder="1" applyFont="1">
      <alignment horizontal="center" readingOrder="0" shrinkToFit="0" vertical="center" wrapText="1"/>
    </xf>
    <xf borderId="12" fillId="2" fontId="31" numFmtId="0" xfId="0" applyAlignment="1" applyBorder="1" applyFont="1">
      <alignment horizontal="center" readingOrder="0" shrinkToFit="0" vertical="center" wrapText="1"/>
    </xf>
    <xf borderId="9" fillId="5" fontId="32" numFmtId="0" xfId="0" applyAlignment="1" applyBorder="1" applyFill="1" applyFont="1">
      <alignment horizontal="center" readingOrder="0" shrinkToFit="0" vertical="center" wrapText="0"/>
    </xf>
    <xf borderId="9" fillId="0" fontId="32" numFmtId="0" xfId="0" applyAlignment="1" applyBorder="1" applyFont="1">
      <alignment horizontal="center" readingOrder="0" shrinkToFit="0" vertical="center" wrapText="0"/>
    </xf>
    <xf borderId="9" fillId="4" fontId="33" numFmtId="0" xfId="0" applyAlignment="1" applyBorder="1" applyFont="1">
      <alignment horizontal="center" readingOrder="0" shrinkToFit="0" vertical="center" wrapText="0"/>
    </xf>
    <xf borderId="9" fillId="0" fontId="34" numFmtId="164" xfId="0" applyAlignment="1" applyBorder="1" applyFont="1" applyNumberFormat="1">
      <alignment horizontal="center" readingOrder="0" shrinkToFit="0" textRotation="90" vertical="center" wrapText="0"/>
    </xf>
    <xf borderId="9" fillId="2" fontId="35" numFmtId="1" xfId="0" applyAlignment="1" applyBorder="1" applyFont="1" applyNumberFormat="1">
      <alignment horizontal="center" readingOrder="0" vertical="center"/>
    </xf>
    <xf borderId="9" fillId="0" fontId="34" numFmtId="0" xfId="0" applyAlignment="1" applyBorder="1" applyFont="1">
      <alignment horizontal="center" readingOrder="0" shrinkToFit="0" vertical="center" wrapText="0"/>
    </xf>
    <xf borderId="9" fillId="0" fontId="34" numFmtId="3" xfId="0" applyAlignment="1" applyBorder="1" applyFont="1" applyNumberFormat="1">
      <alignment horizontal="center" readingOrder="0" shrinkToFit="0" vertical="center" wrapText="0"/>
    </xf>
    <xf borderId="9" fillId="5" fontId="34" numFmtId="0" xfId="0" applyAlignment="1" applyBorder="1" applyFont="1">
      <alignment horizontal="center" readingOrder="0" shrinkToFit="0" vertical="center" wrapText="0"/>
    </xf>
    <xf borderId="9" fillId="0" fontId="35" numFmtId="0" xfId="0" applyAlignment="1" applyBorder="1" applyFont="1">
      <alignment horizontal="center" readingOrder="0" shrinkToFit="0" vertical="center" wrapText="0"/>
    </xf>
    <xf borderId="9" fillId="0" fontId="34" numFmtId="0" xfId="0" applyAlignment="1" applyBorder="1" applyFont="1">
      <alignment horizontal="center" readingOrder="0" textRotation="90" vertical="center"/>
    </xf>
    <xf borderId="9" fillId="0" fontId="33" numFmtId="0" xfId="0" applyAlignment="1" applyBorder="1" applyFont="1">
      <alignment horizontal="center" readingOrder="0" vertical="center"/>
    </xf>
    <xf borderId="9" fillId="0" fontId="36" numFmtId="1" xfId="0" applyAlignment="1" applyBorder="1" applyFont="1" applyNumberFormat="1">
      <alignment horizontal="center" readingOrder="0" shrinkToFit="0" vertical="center" wrapText="0"/>
    </xf>
    <xf borderId="12" fillId="2" fontId="37" numFmtId="0" xfId="0" applyAlignment="1" applyBorder="1" applyFont="1">
      <alignment horizontal="center" readingOrder="0" shrinkToFit="0" vertical="center" wrapText="1"/>
    </xf>
    <xf borderId="9" fillId="5" fontId="38" numFmtId="0" xfId="0" applyAlignment="1" applyBorder="1" applyFont="1">
      <alignment horizontal="center" readingOrder="0" shrinkToFit="0" vertical="center" wrapText="0"/>
    </xf>
    <xf borderId="9" fillId="0" fontId="38" numFmtId="1" xfId="0" applyAlignment="1" applyBorder="1" applyFont="1" applyNumberFormat="1">
      <alignment horizontal="center" readingOrder="0" shrinkToFit="0" vertical="center" wrapText="0"/>
    </xf>
    <xf borderId="9" fillId="0" fontId="38" numFmtId="0" xfId="0" applyAlignment="1" applyBorder="1" applyFont="1">
      <alignment horizontal="center" readingOrder="0" shrinkToFit="0" vertical="center" wrapText="0"/>
    </xf>
    <xf borderId="9" fillId="2" fontId="39" numFmtId="1" xfId="0" applyAlignment="1" applyBorder="1" applyFont="1" applyNumberFormat="1">
      <alignment horizontal="center" readingOrder="0" vertical="center"/>
    </xf>
    <xf borderId="9" fillId="0" fontId="38" numFmtId="3" xfId="0" applyAlignment="1" applyBorder="1" applyFont="1" applyNumberFormat="1">
      <alignment horizontal="center" readingOrder="0" shrinkToFit="0" vertical="center" wrapText="0"/>
    </xf>
    <xf borderId="9" fillId="0" fontId="39" numFmtId="0" xfId="0" applyAlignment="1" applyBorder="1" applyFont="1">
      <alignment horizontal="center" readingOrder="0" shrinkToFit="0" vertical="center" wrapText="0"/>
    </xf>
    <xf borderId="9" fillId="0" fontId="38" numFmtId="0" xfId="0" applyAlignment="1" applyBorder="1" applyFont="1">
      <alignment horizontal="center" readingOrder="0" vertical="center"/>
    </xf>
    <xf borderId="9" fillId="0" fontId="40" numFmtId="0" xfId="0" applyAlignment="1" applyBorder="1" applyFont="1">
      <alignment shrinkToFit="0" vertical="center" wrapText="0"/>
    </xf>
    <xf borderId="0" fillId="0" fontId="40" numFmtId="0" xfId="0" applyAlignment="1" applyFont="1">
      <alignment shrinkToFit="0" vertical="bottom" wrapText="0"/>
    </xf>
    <xf borderId="9" fillId="0" fontId="40" numFmtId="0" xfId="0" applyAlignment="1" applyBorder="1" applyFont="1">
      <alignment vertical="center"/>
    </xf>
    <xf borderId="0" fillId="0" fontId="40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40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/>
    </xf>
    <xf borderId="0" fillId="0" fontId="20" numFmtId="0" xfId="0" applyAlignment="1" applyFont="1">
      <alignment horizontal="center" readingOrder="0"/>
    </xf>
    <xf borderId="0" fillId="0" fontId="41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left" shrinkToFit="0" vertical="center" wrapText="0"/>
    </xf>
    <xf borderId="1" fillId="2" fontId="18" numFmtId="0" xfId="0" applyAlignment="1" applyBorder="1" applyFont="1">
      <alignment vertical="center"/>
    </xf>
    <xf borderId="1" fillId="2" fontId="18" numFmtId="0" xfId="0" applyAlignment="1" applyBorder="1" applyFont="1">
      <alignment readingOrder="0" vertical="center"/>
    </xf>
    <xf borderId="1" fillId="0" fontId="18" numFmtId="0" xfId="0" applyAlignment="1" applyBorder="1" applyFont="1">
      <alignment vertical="center"/>
    </xf>
    <xf borderId="3" fillId="0" fontId="18" numFmtId="0" xfId="0" applyAlignment="1" applyBorder="1" applyFont="1">
      <alignment vertical="center"/>
    </xf>
    <xf borderId="1" fillId="2" fontId="19" numFmtId="2" xfId="0" applyAlignment="1" applyBorder="1" applyFont="1" applyNumberFormat="1">
      <alignment horizontal="left" vertical="center"/>
    </xf>
    <xf borderId="7" fillId="2" fontId="21" numFmtId="0" xfId="0" applyAlignment="1" applyBorder="1" applyFont="1">
      <alignment readingOrder="0" vertical="center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29" numFmtId="0" xfId="0" applyAlignment="1" applyBorder="1" applyFont="1">
      <alignment horizontal="center" readingOrder="0" shrinkToFit="0" vertical="center" wrapText="0"/>
    </xf>
    <xf borderId="12" fillId="0" fontId="25" numFmtId="0" xfId="0" applyAlignment="1" applyBorder="1" applyFont="1">
      <alignment horizontal="center" readingOrder="0" shrinkToFit="0" vertical="center" wrapText="1"/>
    </xf>
    <xf borderId="14" fillId="0" fontId="40" numFmtId="0" xfId="0" applyAlignment="1" applyBorder="1" applyFont="1">
      <alignment vertical="center"/>
    </xf>
    <xf borderId="1" fillId="0" fontId="40" numFmtId="0" xfId="0" applyAlignment="1" applyBorder="1" applyFont="1">
      <alignment vertical="bottom"/>
    </xf>
    <xf borderId="1" fillId="0" fontId="42" numFmtId="0" xfId="0" applyAlignment="1" applyBorder="1" applyFont="1">
      <alignment vertical="bottom"/>
    </xf>
    <xf borderId="14" fillId="0" fontId="40" numFmtId="0" xfId="0" applyAlignment="1" applyBorder="1" applyFont="1">
      <alignment shrinkToFit="0" vertical="bottom" wrapText="0"/>
    </xf>
    <xf borderId="16" fillId="0" fontId="2" numFmtId="0" xfId="0" applyBorder="1" applyFont="1"/>
    <xf borderId="1" fillId="0" fontId="40" numFmtId="0" xfId="0" applyAlignment="1" applyBorder="1" applyFont="1">
      <alignment horizontal="center"/>
    </xf>
    <xf borderId="1" fillId="0" fontId="42" numFmtId="0" xfId="0" applyAlignment="1" applyBorder="1" applyFont="1">
      <alignment horizontal="center"/>
    </xf>
    <xf borderId="1" fillId="0" fontId="1" numFmtId="0" xfId="0" applyBorder="1" applyFont="1"/>
    <xf borderId="1" fillId="3" fontId="43" numFmtId="0" xfId="0" applyAlignment="1" applyBorder="1" applyFont="1">
      <alignment horizontal="center" readingOrder="0" shrinkToFit="0" vertical="center" wrapText="0"/>
    </xf>
    <xf borderId="1" fillId="3" fontId="43" numFmtId="0" xfId="0" applyAlignment="1" applyBorder="1" applyFont="1">
      <alignment horizontal="center" readingOrder="0" vertical="center"/>
    </xf>
    <xf borderId="12" fillId="3" fontId="4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19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vertical="center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readingOrder="0" vertical="center"/>
    </xf>
    <xf borderId="0" fillId="0" fontId="16" numFmtId="0" xfId="0" applyAlignment="1" applyFont="1">
      <alignment horizontal="left" shrinkToFit="0" vertical="center" wrapText="0"/>
    </xf>
    <xf borderId="0" fillId="0" fontId="14" numFmtId="0" xfId="0" applyAlignment="1" applyFont="1">
      <alignment readingOrder="0" vertical="center"/>
    </xf>
    <xf borderId="0" fillId="0" fontId="23" numFmtId="0" xfId="0" applyFont="1"/>
    <xf borderId="0" fillId="0" fontId="14" numFmtId="0" xfId="0" applyAlignment="1" applyFont="1">
      <alignment horizontal="left" shrinkToFit="0" vertical="center" wrapText="0"/>
    </xf>
    <xf borderId="0" fillId="0" fontId="17" numFmtId="0" xfId="0" applyAlignment="1" applyFont="1">
      <alignment shrinkToFit="0" vertical="center" wrapText="0"/>
    </xf>
    <xf borderId="1" fillId="0" fontId="18" numFmtId="0" xfId="0" applyAlignment="1" applyBorder="1" applyFont="1">
      <alignment horizontal="left" shrinkToFit="0" vertical="center" wrapText="0"/>
    </xf>
    <xf borderId="1" fillId="0" fontId="18" numFmtId="0" xfId="0" applyAlignment="1" applyBorder="1" applyFont="1">
      <alignment horizontal="left" vertical="center"/>
    </xf>
    <xf borderId="1" fillId="0" fontId="18" numFmtId="0" xfId="0" applyAlignment="1" applyBorder="1" applyFont="1">
      <alignment readingOrder="0" vertical="center"/>
    </xf>
    <xf borderId="1" fillId="0" fontId="19" numFmtId="0" xfId="0" applyAlignment="1" applyBorder="1" applyFont="1">
      <alignment horizontal="left" vertical="center"/>
    </xf>
    <xf borderId="2" fillId="0" fontId="45" numFmtId="0" xfId="0" applyAlignment="1" applyBorder="1" applyFont="1">
      <alignment horizontal="left" shrinkToFit="0" vertical="center" wrapText="0"/>
    </xf>
    <xf borderId="3" fillId="0" fontId="45" numFmtId="0" xfId="0" applyAlignment="1" applyBorder="1" applyFont="1">
      <alignment horizontal="left" shrinkToFit="0" vertical="center" wrapText="0"/>
    </xf>
    <xf borderId="0" fillId="0" fontId="18" numFmtId="0" xfId="0" applyAlignment="1" applyFont="1">
      <alignment shrinkToFit="0" vertical="center" wrapText="0"/>
    </xf>
    <xf borderId="7" fillId="0" fontId="19" numFmtId="2" xfId="0" applyAlignment="1" applyBorder="1" applyFont="1" applyNumberFormat="1">
      <alignment horizontal="left" vertical="center"/>
    </xf>
    <xf borderId="2" fillId="0" fontId="46" numFmtId="2" xfId="0" applyAlignment="1" applyBorder="1" applyFont="1" applyNumberFormat="1">
      <alignment horizontal="left" shrinkToFit="0" vertical="center" wrapText="0"/>
    </xf>
    <xf borderId="3" fillId="0" fontId="46" numFmtId="2" xfId="0" applyAlignment="1" applyBorder="1" applyFont="1" applyNumberFormat="1">
      <alignment horizontal="left" shrinkToFit="0" vertical="center" wrapText="0"/>
    </xf>
    <xf borderId="0" fillId="0" fontId="16" numFmtId="2" xfId="0" applyAlignment="1" applyFont="1" applyNumberFormat="1">
      <alignment horizontal="left" shrinkToFit="0" vertical="center" wrapText="0"/>
    </xf>
    <xf borderId="0" fillId="0" fontId="17" numFmtId="0" xfId="0" applyAlignment="1" applyFont="1">
      <alignment vertical="center"/>
    </xf>
    <xf borderId="1" fillId="0" fontId="18" numFmtId="0" xfId="0" applyAlignment="1" applyBorder="1" applyFont="1">
      <alignment horizontal="left" vertical="center"/>
    </xf>
    <xf borderId="1" fillId="0" fontId="18" numFmtId="2" xfId="0" applyAlignment="1" applyBorder="1" applyFont="1" applyNumberFormat="1">
      <alignment horizontal="left" vertical="center"/>
    </xf>
    <xf borderId="1" fillId="0" fontId="21" numFmtId="0" xfId="0" applyAlignment="1" applyBorder="1" applyFont="1">
      <alignment readingOrder="0" vertical="center"/>
    </xf>
    <xf borderId="7" fillId="0" fontId="8" numFmtId="0" xfId="0" applyAlignment="1" applyBorder="1" applyFont="1">
      <alignment readingOrder="0" vertical="center"/>
    </xf>
    <xf borderId="0" fillId="0" fontId="40" numFmtId="0" xfId="0" applyAlignment="1" applyFont="1">
      <alignment horizontal="center" shrinkToFit="0" vertical="center" wrapText="0"/>
    </xf>
    <xf borderId="1" fillId="6" fontId="40" numFmtId="0" xfId="0" applyAlignment="1" applyBorder="1" applyFill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14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7" fillId="0" fontId="41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0"/>
    </xf>
    <xf borderId="7" fillId="0" fontId="24" numFmtId="0" xfId="0" applyAlignment="1" applyBorder="1" applyFont="1">
      <alignment horizontal="center" readingOrder="0" shrinkToFit="0" vertical="center" wrapText="0"/>
    </xf>
    <xf borderId="14" fillId="6" fontId="5" numFmtId="0" xfId="0" applyAlignment="1" applyBorder="1" applyFont="1">
      <alignment horizontal="center" readingOrder="0" shrinkToFit="0" vertical="center" wrapText="0"/>
    </xf>
    <xf borderId="17" fillId="0" fontId="40" numFmtId="0" xfId="0" applyAlignment="1" applyBorder="1" applyFont="1">
      <alignment horizontal="center" shrinkToFit="0" vertical="center" wrapText="0"/>
    </xf>
    <xf borderId="18" fillId="0" fontId="41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20" fillId="0" fontId="47" numFmtId="0" xfId="0" applyAlignment="1" applyBorder="1" applyFont="1">
      <alignment horizontal="center" readingOrder="0" shrinkToFit="0" vertical="center" wrapText="0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0" fillId="0" fontId="48" numFmtId="0" xfId="0" applyAlignment="1" applyBorder="1" applyFont="1">
      <alignment horizontal="center" readingOrder="0" shrinkToFit="0" textRotation="0" vertical="center" wrapText="1"/>
    </xf>
    <xf borderId="17" fillId="0" fontId="48" numFmtId="2" xfId="0" applyAlignment="1" applyBorder="1" applyFont="1" applyNumberFormat="1">
      <alignment horizontal="center" readingOrder="0" shrinkToFit="0" vertical="center" wrapText="0"/>
    </xf>
    <xf borderId="17" fillId="0" fontId="49" numFmtId="0" xfId="0" applyAlignment="1" applyBorder="1" applyFont="1">
      <alignment horizontal="center" readingOrder="0" shrinkToFit="0" vertical="center" wrapText="0"/>
    </xf>
    <xf borderId="17" fillId="0" fontId="48" numFmtId="2" xfId="0" applyAlignment="1" applyBorder="1" applyFont="1" applyNumberFormat="1">
      <alignment horizontal="center" shrinkToFit="0" vertical="center" wrapText="0"/>
    </xf>
    <xf borderId="17" fillId="0" fontId="49" numFmtId="0" xfId="0" applyAlignment="1" applyBorder="1" applyFont="1">
      <alignment horizontal="center" readingOrder="0" shrinkToFit="0" textRotation="0" vertical="center" wrapText="0"/>
    </xf>
    <xf borderId="0" fillId="0" fontId="16" numFmtId="0" xfId="0" applyAlignment="1" applyFont="1">
      <alignment horizontal="center" readingOrder="0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48" numFmtId="0" xfId="0" applyAlignment="1" applyBorder="1" applyFont="1">
      <alignment horizontal="center" readingOrder="0" shrinkToFit="0" textRotation="0" vertical="center" wrapText="1"/>
    </xf>
    <xf borderId="29" fillId="0" fontId="48" numFmtId="0" xfId="0" applyAlignment="1" applyBorder="1" applyFont="1">
      <alignment horizontal="center" readingOrder="0" shrinkToFit="0" textRotation="0" vertical="center" wrapText="0"/>
    </xf>
    <xf borderId="29" fillId="0" fontId="48" numFmtId="0" xfId="0" applyAlignment="1" applyBorder="1" applyFont="1">
      <alignment horizontal="center" readingOrder="0" shrinkToFit="0" vertical="center" wrapText="0"/>
    </xf>
    <xf borderId="29" fillId="0" fontId="48" numFmtId="0" xfId="0" applyAlignment="1" applyBorder="1" applyFont="1">
      <alignment horizontal="center" readingOrder="0" textRotation="0" vertical="center"/>
    </xf>
    <xf borderId="0" fillId="0" fontId="36" numFmtId="1" xfId="0" applyAlignment="1" applyFont="1" applyNumberFormat="1">
      <alignment horizontal="center" readingOrder="0" shrinkToFit="0" vertical="center" wrapText="0"/>
    </xf>
    <xf borderId="12" fillId="0" fontId="36" numFmtId="1" xfId="0" applyAlignment="1" applyBorder="1" applyFont="1" applyNumberFormat="1">
      <alignment horizontal="center" readingOrder="0" shrinkToFit="0" vertical="center" wrapText="0"/>
    </xf>
    <xf borderId="12" fillId="0" fontId="37" numFmtId="0" xfId="0" applyAlignment="1" applyBorder="1" applyFont="1">
      <alignment horizontal="center" readingOrder="0" shrinkToFit="0" vertical="center" wrapText="1"/>
    </xf>
    <xf borderId="12" fillId="0" fontId="36" numFmtId="1" xfId="0" applyAlignment="1" applyBorder="1" applyFont="1" applyNumberFormat="1">
      <alignment horizontal="center" shrinkToFit="0" vertical="center" wrapText="0"/>
    </xf>
    <xf borderId="12" fillId="0" fontId="36" numFmtId="3" xfId="0" applyAlignment="1" applyBorder="1" applyFont="1" applyNumberFormat="1">
      <alignment horizontal="center" shrinkToFit="0" vertical="center" wrapText="0"/>
    </xf>
    <xf borderId="12" fillId="0" fontId="36" numFmtId="2" xfId="0" applyAlignment="1" applyBorder="1" applyFont="1" applyNumberFormat="1">
      <alignment horizontal="center" shrinkToFit="0" vertical="center" wrapText="0"/>
    </xf>
    <xf borderId="12" fillId="0" fontId="41" numFmtId="4" xfId="0" applyAlignment="1" applyBorder="1" applyFont="1" applyNumberFormat="1">
      <alignment horizontal="center" shrinkToFit="0" vertical="center" wrapText="0"/>
    </xf>
    <xf borderId="0" fillId="0" fontId="50" numFmtId="2" xfId="0" applyAlignment="1" applyFont="1" applyNumberFormat="1">
      <alignment vertical="center"/>
    </xf>
    <xf borderId="12" fillId="0" fontId="24" numFmtId="4" xfId="0" applyAlignment="1" applyBorder="1" applyFont="1" applyNumberFormat="1">
      <alignment horizontal="center" shrinkToFit="0" vertical="center" wrapText="0"/>
    </xf>
    <xf borderId="8" fillId="0" fontId="51" numFmtId="2" xfId="0" applyAlignment="1" applyBorder="1" applyFont="1" applyNumberFormat="1">
      <alignment horizontal="center" vertical="center"/>
    </xf>
    <xf borderId="12" fillId="0" fontId="41" numFmtId="0" xfId="0" applyAlignment="1" applyBorder="1" applyFont="1">
      <alignment horizontal="center" shrinkToFit="0" vertical="center" wrapText="0"/>
    </xf>
    <xf borderId="12" fillId="0" fontId="41" numFmtId="2" xfId="0" applyAlignment="1" applyBorder="1" applyFont="1" applyNumberFormat="1">
      <alignment horizontal="center" shrinkToFit="0" vertical="center" wrapText="0"/>
    </xf>
    <xf borderId="0" fillId="0" fontId="36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center" vertical="center"/>
    </xf>
    <xf borderId="9" fillId="0" fontId="36" numFmtId="1" xfId="0" applyAlignment="1" applyBorder="1" applyFont="1" applyNumberFormat="1">
      <alignment horizontal="center" readingOrder="0" shrinkToFit="0" vertical="center" wrapText="0"/>
    </xf>
    <xf borderId="9" fillId="0" fontId="37" numFmtId="0" xfId="0" applyAlignment="1" applyBorder="1" applyFont="1">
      <alignment horizontal="center" readingOrder="0" shrinkToFit="0" vertical="center" wrapText="1"/>
    </xf>
    <xf borderId="9" fillId="0" fontId="36" numFmtId="1" xfId="0" applyAlignment="1" applyBorder="1" applyFont="1" applyNumberFormat="1">
      <alignment horizontal="center" shrinkToFit="0" vertical="center" wrapText="0"/>
    </xf>
    <xf borderId="9" fillId="0" fontId="36" numFmtId="3" xfId="0" applyAlignment="1" applyBorder="1" applyFont="1" applyNumberFormat="1">
      <alignment horizontal="center" shrinkToFit="0" vertical="center" wrapText="0"/>
    </xf>
    <xf borderId="9" fillId="0" fontId="36" numFmtId="2" xfId="0" applyAlignment="1" applyBorder="1" applyFont="1" applyNumberFormat="1">
      <alignment horizontal="center" shrinkToFit="0" vertical="center" wrapText="0"/>
    </xf>
    <xf borderId="9" fillId="0" fontId="41" numFmtId="4" xfId="0" applyAlignment="1" applyBorder="1" applyFont="1" applyNumberFormat="1">
      <alignment horizontal="center" shrinkToFit="0" vertical="center" wrapText="0"/>
    </xf>
    <xf borderId="9" fillId="0" fontId="24" numFmtId="4" xfId="0" applyAlignment="1" applyBorder="1" applyFont="1" applyNumberFormat="1">
      <alignment horizontal="center" shrinkToFit="0" vertical="center" wrapText="0"/>
    </xf>
    <xf borderId="0" fillId="0" fontId="1" numFmtId="1" xfId="0" applyAlignment="1" applyFont="1" applyNumberFormat="1">
      <alignment vertical="center"/>
    </xf>
    <xf borderId="9" fillId="0" fontId="1" numFmtId="1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vertical="center"/>
    </xf>
    <xf borderId="9" fillId="0" fontId="1" numFmtId="1" xfId="0" applyAlignment="1" applyBorder="1" applyFont="1" applyNumberFormat="1">
      <alignment vertical="center"/>
    </xf>
    <xf borderId="9" fillId="0" fontId="1" numFmtId="165" xfId="0" applyAlignment="1" applyBorder="1" applyFont="1" applyNumberFormat="1">
      <alignment vertical="center"/>
    </xf>
    <xf borderId="9" fillId="0" fontId="3" numFmtId="165" xfId="0" applyAlignment="1" applyBorder="1" applyFont="1" applyNumberFormat="1">
      <alignment vertical="center"/>
    </xf>
    <xf borderId="9" fillId="2" fontId="52" numFmtId="165" xfId="0" applyAlignment="1" applyBorder="1" applyFont="1" applyNumberFormat="1">
      <alignment horizontal="center" shrinkToFit="0" vertical="center" wrapText="1"/>
    </xf>
    <xf borderId="9" fillId="0" fontId="1" numFmtId="165" xfId="0" applyAlignment="1" applyBorder="1" applyFont="1" applyNumberFormat="1">
      <alignment readingOrder="0" vertical="center"/>
    </xf>
    <xf borderId="9" fillId="2" fontId="52" numFmtId="165" xfId="0" applyAlignment="1" applyBorder="1" applyFont="1" applyNumberFormat="1">
      <alignment horizontal="center" vertical="center"/>
    </xf>
    <xf borderId="9" fillId="2" fontId="50" numFmtId="165" xfId="0" applyAlignment="1" applyBorder="1" applyFont="1" applyNumberFormat="1">
      <alignment vertical="center"/>
    </xf>
    <xf borderId="0" fillId="0" fontId="13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" numFmtId="2" xfId="0" applyAlignment="1" applyFont="1" applyNumberFormat="1">
      <alignment horizontal="center" vertical="center"/>
    </xf>
    <xf borderId="0" fillId="0" fontId="5" numFmtId="0" xfId="0" applyAlignment="1" applyFont="1">
      <alignment shrinkToFit="0" vertical="center" wrapText="0"/>
    </xf>
    <xf borderId="0" fillId="0" fontId="40" numFmtId="0" xfId="0" applyAlignment="1" applyFont="1">
      <alignment shrinkToFit="0" vertical="center" wrapText="0"/>
    </xf>
    <xf borderId="0" fillId="0" fontId="40" numFmtId="2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3" numFmtId="0" xfId="0" applyAlignment="1" applyFont="1">
      <alignment vertical="center"/>
    </xf>
    <xf borderId="0" fillId="0" fontId="42" numFmtId="0" xfId="0" applyAlignment="1" applyFont="1">
      <alignment shrinkToFit="0" vertical="center" wrapText="0"/>
    </xf>
    <xf borderId="0" fillId="0" fontId="42" numFmtId="0" xfId="0" applyAlignment="1" applyFont="1">
      <alignment horizontal="center" shrinkToFit="0" vertical="center" wrapText="0"/>
    </xf>
    <xf borderId="0" fillId="0" fontId="42" numFmtId="0" xfId="0" applyAlignment="1" applyFont="1">
      <alignment vertical="center"/>
    </xf>
    <xf borderId="0" fillId="0" fontId="40" numFmtId="0" xfId="0" applyAlignment="1" applyFont="1">
      <alignment vertical="center"/>
    </xf>
    <xf borderId="0" fillId="0" fontId="40" numFmtId="2" xfId="0" applyAlignment="1" applyFont="1" applyNumberForma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none"/>
      </fill>
      <border/>
    </dxf>
    <dxf>
      <font>
        <color theme="1"/>
      </font>
      <fill>
        <patternFill patternType="solid">
          <fgColor rgb="FFB7E1CD"/>
          <bgColor rgb="FFB7E1CD"/>
        </patternFill>
      </fill>
      <border/>
    </dxf>
    <dxf>
      <font>
        <b/>
        <color rgb="FFFF0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  <tableStyles count="4">
    <tableStyle count="2" pivot="0" name="Prelim-style">
      <tableStyleElement dxfId="1" type="firstRowStripe"/>
      <tableStyleElement dxfId="2" type="secondRowStripe"/>
    </tableStyle>
    <tableStyle count="2" pivot="0" name="Midterm-style">
      <tableStyleElement dxfId="1" type="firstRowStripe"/>
      <tableStyleElement dxfId="2" type="secondRowStripe"/>
    </tableStyle>
    <tableStyle count="2" pivot="0" name="PreFinal-style">
      <tableStyleElement dxfId="1" type="firstRowStripe"/>
      <tableStyleElement dxfId="2" type="secondRowStripe"/>
    </tableStyle>
    <tableStyle count="2" pivot="0" name="Summary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714375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4375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714375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628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0:T74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Prelim-style" showColumnStripes="0" showFirstColumn="1" showLastColumn="1" showRowStripes="1"/>
</table>
</file>

<file path=xl/tables/table2.xml><?xml version="1.0" encoding="utf-8"?>
<table xmlns="http://schemas.openxmlformats.org/spreadsheetml/2006/main" headerRowCount="0" ref="A20:T74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Midterm-style" showColumnStripes="0" showFirstColumn="1" showLastColumn="1" showRowStripes="1"/>
</table>
</file>

<file path=xl/tables/table3.xml><?xml version="1.0" encoding="utf-8"?>
<table xmlns="http://schemas.openxmlformats.org/spreadsheetml/2006/main" headerRowCount="0" ref="A20:U74" displayName="Table_3" name="Table_3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reFinal-style" showColumnStripes="0" showFirstColumn="1" showLastColumn="1" showRowStripes="1"/>
</table>
</file>

<file path=xl/tables/table4.xml><?xml version="1.0" encoding="utf-8"?>
<table xmlns="http://schemas.openxmlformats.org/spreadsheetml/2006/main" headerRowCount="0" ref="A20:W74" displayName="Table_4" name="Table_4" id="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7.57"/>
    <col customWidth="1" min="3" max="3" width="20.29"/>
    <col customWidth="1" min="4" max="5" width="6.0"/>
    <col customWidth="1" min="6" max="6" width="6.57"/>
    <col customWidth="1" min="7" max="7" width="7.71"/>
    <col customWidth="1" min="8" max="9" width="5.86"/>
    <col customWidth="1" min="10" max="10" width="5.57"/>
    <col customWidth="1" min="11" max="11" width="6.29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5.5" customHeight="1">
      <c r="A2" s="5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5.5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5.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5.5" customHeight="1">
      <c r="A5" s="10" t="s">
        <v>2</v>
      </c>
      <c r="B5" s="3"/>
      <c r="C5" s="10" t="s">
        <v>3</v>
      </c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5.5" customHeight="1">
      <c r="A6" s="10" t="s">
        <v>4</v>
      </c>
      <c r="B6" s="3"/>
      <c r="C6" s="10" t="s">
        <v>5</v>
      </c>
      <c r="D6" s="2"/>
      <c r="E6" s="2"/>
      <c r="F6" s="2"/>
      <c r="G6" s="2"/>
      <c r="H6" s="2"/>
      <c r="I6" s="2"/>
      <c r="J6" s="2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5.5" customHeight="1">
      <c r="A7" s="10" t="s">
        <v>6</v>
      </c>
      <c r="B7" s="3"/>
      <c r="C7" s="11">
        <v>3.0</v>
      </c>
      <c r="D7" s="2"/>
      <c r="E7" s="2"/>
      <c r="F7" s="2"/>
      <c r="G7" s="2"/>
      <c r="H7" s="2"/>
      <c r="I7" s="2"/>
      <c r="J7" s="2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5.5" customHeight="1">
      <c r="A8" s="4"/>
      <c r="B8" s="1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5.5" customHeight="1">
      <c r="A9" s="4"/>
      <c r="B9" s="1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5.5" customHeight="1">
      <c r="A10" s="13"/>
      <c r="B10" s="2"/>
      <c r="C10" s="3"/>
      <c r="D10" s="14" t="s">
        <v>7</v>
      </c>
      <c r="E10" s="3"/>
      <c r="F10" s="15" t="s">
        <v>8</v>
      </c>
      <c r="G10" s="14" t="s">
        <v>9</v>
      </c>
      <c r="H10" s="3"/>
      <c r="I10" s="15" t="s">
        <v>10</v>
      </c>
      <c r="J10" s="14" t="s">
        <v>11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5.5" customHeight="1">
      <c r="A11" s="16" t="s">
        <v>12</v>
      </c>
      <c r="B11" s="2"/>
      <c r="C11" s="2"/>
      <c r="D11" s="2"/>
      <c r="E11" s="3"/>
      <c r="F11" s="17">
        <v>0.4</v>
      </c>
      <c r="G11" s="13"/>
      <c r="H11" s="3"/>
      <c r="I11" s="17">
        <v>0.4</v>
      </c>
      <c r="J11" s="13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5.5" customHeight="1">
      <c r="A12" s="18" t="s">
        <v>13</v>
      </c>
      <c r="B12" s="2"/>
      <c r="C12" s="3"/>
      <c r="D12" s="19"/>
      <c r="E12" s="19"/>
      <c r="F12" s="20">
        <v>0.6</v>
      </c>
      <c r="G12" s="19"/>
      <c r="H12" s="19"/>
      <c r="I12" s="20">
        <v>0.6</v>
      </c>
      <c r="J12" s="19"/>
      <c r="K12" s="1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5.5" customHeight="1">
      <c r="A13" s="5"/>
      <c r="B13" s="21" t="s">
        <v>14</v>
      </c>
      <c r="C13" s="22"/>
      <c r="D13" s="23"/>
      <c r="E13" s="20">
        <v>0.4</v>
      </c>
      <c r="F13" s="24"/>
      <c r="G13" s="25"/>
      <c r="H13" s="20">
        <v>0.4</v>
      </c>
      <c r="I13" s="24"/>
      <c r="J13" s="25"/>
      <c r="K13" s="20">
        <v>0.4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5.5" customHeight="1">
      <c r="A14" s="5"/>
      <c r="B14" s="26" t="s">
        <v>15</v>
      </c>
      <c r="C14" s="22"/>
      <c r="D14" s="23"/>
      <c r="E14" s="20">
        <v>0.6</v>
      </c>
      <c r="F14" s="27"/>
      <c r="G14" s="25"/>
      <c r="H14" s="20">
        <v>0.6</v>
      </c>
      <c r="I14" s="27"/>
      <c r="J14" s="25"/>
      <c r="K14" s="20">
        <v>0.6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5.5" customHeight="1">
      <c r="A15" s="5"/>
      <c r="B15" s="19"/>
      <c r="C15" s="28" t="s">
        <v>16</v>
      </c>
      <c r="D15" s="25">
        <v>0.4</v>
      </c>
      <c r="E15" s="29"/>
      <c r="F15" s="27"/>
      <c r="G15" s="25">
        <v>0.4</v>
      </c>
      <c r="H15" s="29"/>
      <c r="I15" s="27"/>
      <c r="J15" s="25">
        <v>0.2</v>
      </c>
      <c r="K15" s="2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5.5" customHeight="1">
      <c r="A16" s="5"/>
      <c r="B16" s="19"/>
      <c r="C16" s="28" t="s">
        <v>17</v>
      </c>
      <c r="D16" s="25">
        <v>0.3</v>
      </c>
      <c r="E16" s="27"/>
      <c r="F16" s="27"/>
      <c r="G16" s="25">
        <v>0.3</v>
      </c>
      <c r="H16" s="27"/>
      <c r="I16" s="27"/>
      <c r="J16" s="25">
        <v>0.2</v>
      </c>
      <c r="K16" s="2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5.5" customHeight="1">
      <c r="A17" s="5"/>
      <c r="B17" s="19"/>
      <c r="C17" s="28" t="s">
        <v>18</v>
      </c>
      <c r="D17" s="25">
        <v>0.3</v>
      </c>
      <c r="E17" s="27"/>
      <c r="F17" s="27"/>
      <c r="G17" s="25">
        <v>0.3</v>
      </c>
      <c r="H17" s="27"/>
      <c r="I17" s="27"/>
      <c r="J17" s="25">
        <v>0.2</v>
      </c>
      <c r="K17" s="2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5.5" customHeight="1">
      <c r="A18" s="5"/>
      <c r="B18" s="19"/>
      <c r="C18" s="28" t="s">
        <v>19</v>
      </c>
      <c r="D18" s="25">
        <v>0.0</v>
      </c>
      <c r="E18" s="27"/>
      <c r="F18" s="27"/>
      <c r="G18" s="25">
        <v>0.0</v>
      </c>
      <c r="H18" s="27"/>
      <c r="I18" s="27"/>
      <c r="J18" s="25">
        <v>0.4</v>
      </c>
      <c r="K18" s="2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5.5" customHeight="1">
      <c r="A19" s="5"/>
      <c r="B19" s="21" t="s">
        <v>20</v>
      </c>
      <c r="C19" s="22"/>
      <c r="D19" s="30">
        <f>sum(D15:D18)</f>
        <v>1</v>
      </c>
      <c r="E19" s="31"/>
      <c r="F19" s="27"/>
      <c r="G19" s="30">
        <f>sum(G15:G18)</f>
        <v>1</v>
      </c>
      <c r="H19" s="31"/>
      <c r="I19" s="27"/>
      <c r="J19" s="30">
        <f>sum(J15:J18)</f>
        <v>1</v>
      </c>
      <c r="K19" s="3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5.5" customHeight="1">
      <c r="A20" s="18" t="s">
        <v>21</v>
      </c>
      <c r="B20" s="2"/>
      <c r="C20" s="3"/>
      <c r="D20" s="22"/>
      <c r="E20" s="32">
        <f>sum(E13:E14)</f>
        <v>1</v>
      </c>
      <c r="F20" s="31"/>
      <c r="G20" s="22"/>
      <c r="H20" s="33">
        <f>sum(H13:H14)</f>
        <v>1</v>
      </c>
      <c r="I20" s="31"/>
      <c r="J20" s="22"/>
      <c r="K20" s="33">
        <f>sum(K13:K14)</f>
        <v>1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B21" s="34"/>
    </row>
    <row r="22" ht="25.5" customHeight="1">
      <c r="A22" s="4"/>
      <c r="B22" s="1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5.5" customHeight="1">
      <c r="A23" s="4"/>
      <c r="B23" s="1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35" t="s">
        <v>22</v>
      </c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5.5" customHeight="1">
      <c r="A25" s="4"/>
      <c r="B25" s="36">
        <v>50.0</v>
      </c>
      <c r="C25" s="37">
        <v>5.0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5.5" customHeight="1">
      <c r="A26" s="4"/>
      <c r="B26" s="36">
        <v>75.0</v>
      </c>
      <c r="C26" s="37">
        <v>3.0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5.5" customHeight="1">
      <c r="A27" s="4"/>
      <c r="B27" s="36">
        <v>81.0</v>
      </c>
      <c r="C27" s="37">
        <v>2.5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5.5" customHeight="1">
      <c r="A28" s="4"/>
      <c r="B28" s="36">
        <v>84.0</v>
      </c>
      <c r="C28" s="37">
        <v>2.25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5.5" customHeight="1">
      <c r="A29" s="4"/>
      <c r="B29" s="36">
        <v>87.0</v>
      </c>
      <c r="C29" s="37">
        <v>2.0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5.5" customHeight="1">
      <c r="A30" s="4"/>
      <c r="B30" s="36">
        <v>90.0</v>
      </c>
      <c r="C30" s="37">
        <v>1.75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5.5" customHeight="1">
      <c r="A31" s="4"/>
      <c r="B31" s="36">
        <v>93.0</v>
      </c>
      <c r="C31" s="37">
        <v>1.5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5.5" customHeight="1">
      <c r="A32" s="4"/>
      <c r="B32" s="36">
        <v>96.0</v>
      </c>
      <c r="C32" s="37">
        <v>1.25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5.5" customHeight="1">
      <c r="A33" s="4"/>
      <c r="B33" s="36">
        <v>100.0</v>
      </c>
      <c r="C33" s="37">
        <v>1.0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5.5" customHeight="1">
      <c r="A34" s="4"/>
      <c r="B34" s="1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5.5" customHeight="1">
      <c r="A35" s="4"/>
      <c r="B35" s="1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5.5" customHeight="1">
      <c r="A36" s="4"/>
      <c r="B36" s="1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5.5" customHeight="1">
      <c r="A37" s="4"/>
      <c r="B37" s="1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25.5" customHeight="1">
      <c r="A38" s="4"/>
      <c r="B38" s="1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25.5" customHeight="1">
      <c r="A39" s="4"/>
      <c r="B39" s="1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25.5" customHeight="1">
      <c r="A40" s="4"/>
      <c r="B40" s="1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25.5" customHeight="1">
      <c r="A41" s="4"/>
      <c r="B41" s="1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25.5" customHeight="1">
      <c r="A42" s="4"/>
      <c r="B42" s="1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25.5" customHeight="1">
      <c r="A43" s="4"/>
      <c r="B43" s="1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25.5" customHeight="1">
      <c r="A44" s="4"/>
      <c r="B44" s="1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25.5" customHeight="1">
      <c r="A45" s="4"/>
      <c r="B45" s="1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25.5" customHeight="1">
      <c r="A46" s="4"/>
      <c r="B46" s="1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25.5" customHeight="1">
      <c r="A47" s="4"/>
      <c r="B47" s="1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25.5" customHeight="1">
      <c r="A48" s="4"/>
      <c r="B48" s="1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25.5" customHeight="1">
      <c r="A49" s="4"/>
      <c r="B49" s="1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25.5" customHeight="1">
      <c r="A50" s="4"/>
      <c r="B50" s="1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25.5" customHeight="1">
      <c r="A51" s="4"/>
      <c r="B51" s="1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25.5" customHeight="1">
      <c r="A52" s="4"/>
      <c r="B52" s="1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25.5" customHeight="1">
      <c r="A53" s="4"/>
      <c r="B53" s="1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25.5" customHeight="1">
      <c r="A54" s="4"/>
      <c r="B54" s="1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25.5" customHeight="1">
      <c r="A55" s="4"/>
      <c r="B55" s="1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25.5" customHeight="1">
      <c r="A56" s="4"/>
      <c r="B56" s="1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25.5" customHeight="1">
      <c r="A57" s="4"/>
      <c r="B57" s="1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25.5" customHeight="1">
      <c r="A58" s="4"/>
      <c r="B58" s="1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25.5" customHeight="1">
      <c r="A59" s="4"/>
      <c r="B59" s="1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25.5" customHeight="1">
      <c r="A60" s="4"/>
      <c r="B60" s="1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25.5" customHeight="1">
      <c r="A61" s="4"/>
      <c r="B61" s="1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25.5" customHeight="1">
      <c r="A62" s="4"/>
      <c r="B62" s="1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25.5" customHeight="1">
      <c r="A63" s="4"/>
      <c r="B63" s="1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25.5" customHeight="1">
      <c r="A64" s="4"/>
      <c r="B64" s="1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25.5" customHeight="1">
      <c r="A65" s="4"/>
      <c r="B65" s="1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25.5" customHeight="1">
      <c r="A66" s="4"/>
      <c r="B66" s="1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25.5" customHeight="1">
      <c r="A67" s="4"/>
      <c r="B67" s="1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25.5" customHeight="1">
      <c r="A68" s="4"/>
      <c r="B68" s="1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25.5" customHeight="1">
      <c r="A69" s="4"/>
      <c r="B69" s="1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25.5" customHeight="1">
      <c r="A70" s="4"/>
      <c r="B70" s="1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25.5" customHeight="1">
      <c r="A71" s="4"/>
      <c r="B71" s="1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25.5" customHeight="1">
      <c r="A72" s="4"/>
      <c r="B72" s="1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25.5" customHeight="1">
      <c r="A73" s="4"/>
      <c r="B73" s="1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25.5" customHeight="1">
      <c r="A74" s="4"/>
      <c r="B74" s="1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25.5" customHeight="1">
      <c r="A75" s="4"/>
      <c r="B75" s="1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25.5" customHeight="1">
      <c r="A76" s="4"/>
      <c r="B76" s="1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25.5" customHeight="1">
      <c r="A77" s="4"/>
      <c r="B77" s="1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25.5" customHeight="1">
      <c r="A78" s="4"/>
      <c r="B78" s="1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25.5" customHeight="1">
      <c r="A79" s="4"/>
      <c r="B79" s="1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25.5" customHeight="1">
      <c r="A80" s="4"/>
      <c r="B80" s="1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25.5" customHeight="1">
      <c r="A81" s="4"/>
      <c r="B81" s="1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25.5" customHeight="1">
      <c r="A82" s="4"/>
      <c r="B82" s="1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25.5" customHeight="1">
      <c r="A83" s="4"/>
      <c r="B83" s="1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25.5" customHeight="1">
      <c r="A84" s="4"/>
      <c r="B84" s="1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25.5" customHeight="1">
      <c r="A85" s="4"/>
      <c r="B85" s="1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25.5" customHeight="1">
      <c r="A86" s="4"/>
      <c r="B86" s="1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25.5" customHeight="1">
      <c r="A87" s="4"/>
      <c r="B87" s="1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25.5" customHeight="1">
      <c r="A88" s="4"/>
      <c r="B88" s="1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25.5" customHeight="1">
      <c r="A89" s="4"/>
      <c r="B89" s="1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25.5" customHeight="1">
      <c r="A90" s="4"/>
      <c r="B90" s="1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25.5" customHeight="1">
      <c r="A91" s="4"/>
      <c r="B91" s="1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25.5" customHeight="1">
      <c r="A92" s="4"/>
      <c r="B92" s="1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25.5" customHeight="1">
      <c r="A93" s="4"/>
      <c r="B93" s="1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25.5" customHeight="1">
      <c r="A94" s="4"/>
      <c r="B94" s="1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25.5" customHeight="1">
      <c r="A95" s="4"/>
      <c r="B95" s="1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25.5" customHeight="1">
      <c r="A96" s="4"/>
      <c r="B96" s="1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25.5" customHeight="1">
      <c r="A97" s="4"/>
      <c r="B97" s="1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25.5" customHeight="1">
      <c r="A98" s="4"/>
      <c r="B98" s="1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25.5" customHeight="1">
      <c r="A99" s="4"/>
      <c r="B99" s="1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25.5" customHeight="1">
      <c r="A100" s="4"/>
      <c r="B100" s="1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25.5" customHeight="1">
      <c r="A101" s="4"/>
      <c r="B101" s="1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25.5" customHeight="1">
      <c r="A102" s="4"/>
      <c r="B102" s="1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25.5" customHeight="1">
      <c r="A103" s="4"/>
      <c r="B103" s="1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25.5" customHeight="1">
      <c r="A104" s="4"/>
      <c r="B104" s="1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25.5" customHeight="1">
      <c r="A105" s="4"/>
      <c r="B105" s="1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25.5" customHeight="1">
      <c r="A106" s="4"/>
      <c r="B106" s="1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25.5" customHeight="1">
      <c r="A107" s="4"/>
      <c r="B107" s="1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25.5" customHeight="1">
      <c r="A108" s="4"/>
      <c r="B108" s="1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25.5" customHeight="1">
      <c r="A109" s="4"/>
      <c r="B109" s="1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25.5" customHeight="1">
      <c r="A110" s="4"/>
      <c r="B110" s="1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25.5" customHeight="1">
      <c r="A111" s="4"/>
      <c r="B111" s="1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25.5" customHeight="1">
      <c r="A112" s="4"/>
      <c r="B112" s="1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25.5" customHeight="1">
      <c r="A113" s="4"/>
      <c r="B113" s="1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25.5" customHeight="1">
      <c r="A114" s="4"/>
      <c r="B114" s="1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25.5" customHeight="1">
      <c r="A115" s="4"/>
      <c r="B115" s="1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25.5" customHeight="1">
      <c r="A116" s="4"/>
      <c r="B116" s="1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25.5" customHeight="1">
      <c r="A117" s="4"/>
      <c r="B117" s="1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25.5" customHeight="1">
      <c r="A118" s="4"/>
      <c r="B118" s="1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25.5" customHeight="1">
      <c r="A119" s="4"/>
      <c r="B119" s="1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25.5" customHeight="1">
      <c r="A120" s="4"/>
      <c r="B120" s="1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25.5" customHeight="1">
      <c r="A121" s="4"/>
      <c r="B121" s="1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25.5" customHeight="1">
      <c r="A122" s="4"/>
      <c r="B122" s="1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25.5" customHeight="1">
      <c r="A123" s="4"/>
      <c r="B123" s="1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25.5" customHeight="1">
      <c r="A124" s="4"/>
      <c r="B124" s="1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25.5" customHeight="1">
      <c r="A125" s="4"/>
      <c r="B125" s="1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25.5" customHeight="1">
      <c r="A126" s="4"/>
      <c r="B126" s="1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25.5" customHeight="1">
      <c r="A127" s="4"/>
      <c r="B127" s="1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25.5" customHeight="1">
      <c r="A128" s="4"/>
      <c r="B128" s="1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25.5" customHeight="1">
      <c r="A129" s="4"/>
      <c r="B129" s="1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25.5" customHeight="1">
      <c r="A130" s="4"/>
      <c r="B130" s="1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25.5" customHeight="1">
      <c r="A131" s="4"/>
      <c r="B131" s="1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25.5" customHeight="1">
      <c r="A132" s="4"/>
      <c r="B132" s="1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25.5" customHeight="1">
      <c r="A133" s="4"/>
      <c r="B133" s="1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25.5" customHeight="1">
      <c r="A134" s="4"/>
      <c r="B134" s="1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25.5" customHeight="1">
      <c r="A135" s="4"/>
      <c r="B135" s="1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25.5" customHeight="1">
      <c r="A136" s="4"/>
      <c r="B136" s="1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25.5" customHeight="1">
      <c r="A137" s="4"/>
      <c r="B137" s="1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25.5" customHeight="1">
      <c r="A138" s="4"/>
      <c r="B138" s="1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25.5" customHeight="1">
      <c r="A139" s="4"/>
      <c r="B139" s="1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25.5" customHeight="1">
      <c r="A140" s="4"/>
      <c r="B140" s="1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25.5" customHeight="1">
      <c r="A141" s="4"/>
      <c r="B141" s="1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25.5" customHeight="1">
      <c r="A142" s="4"/>
      <c r="B142" s="1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25.5" customHeight="1">
      <c r="A143" s="4"/>
      <c r="B143" s="1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25.5" customHeight="1">
      <c r="A144" s="4"/>
      <c r="B144" s="1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25.5" customHeight="1">
      <c r="A145" s="4"/>
      <c r="B145" s="1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25.5" customHeight="1">
      <c r="A146" s="4"/>
      <c r="B146" s="1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25.5" customHeight="1">
      <c r="A147" s="4"/>
      <c r="B147" s="1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25.5" customHeight="1">
      <c r="A148" s="4"/>
      <c r="B148" s="1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25.5" customHeight="1">
      <c r="A149" s="4"/>
      <c r="B149" s="1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25.5" customHeight="1">
      <c r="A150" s="4"/>
      <c r="B150" s="1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25.5" customHeight="1">
      <c r="A151" s="4"/>
      <c r="B151" s="1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25.5" customHeight="1">
      <c r="A152" s="4"/>
      <c r="B152" s="1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25.5" customHeight="1">
      <c r="A153" s="4"/>
      <c r="B153" s="1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25.5" customHeight="1">
      <c r="A154" s="4"/>
      <c r="B154" s="1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25.5" customHeight="1">
      <c r="A155" s="4"/>
      <c r="B155" s="1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25.5" customHeight="1">
      <c r="A156" s="4"/>
      <c r="B156" s="1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25.5" customHeight="1">
      <c r="A157" s="4"/>
      <c r="B157" s="1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25.5" customHeight="1">
      <c r="A158" s="4"/>
      <c r="B158" s="1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25.5" customHeight="1">
      <c r="A159" s="4"/>
      <c r="B159" s="1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25.5" customHeight="1">
      <c r="A160" s="4"/>
      <c r="B160" s="1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25.5" customHeight="1">
      <c r="A161" s="4"/>
      <c r="B161" s="1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25.5" customHeight="1">
      <c r="A162" s="4"/>
      <c r="B162" s="1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25.5" customHeight="1">
      <c r="A163" s="4"/>
      <c r="B163" s="1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25.5" customHeight="1">
      <c r="A164" s="4"/>
      <c r="B164" s="1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25.5" customHeight="1">
      <c r="A165" s="4"/>
      <c r="B165" s="1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25.5" customHeight="1">
      <c r="A166" s="4"/>
      <c r="B166" s="1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25.5" customHeight="1">
      <c r="A167" s="4"/>
      <c r="B167" s="1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25.5" customHeight="1">
      <c r="A168" s="4"/>
      <c r="B168" s="1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25.5" customHeight="1">
      <c r="A169" s="4"/>
      <c r="B169" s="1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25.5" customHeight="1">
      <c r="A170" s="4"/>
      <c r="B170" s="1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25.5" customHeight="1">
      <c r="A171" s="4"/>
      <c r="B171" s="1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25.5" customHeight="1">
      <c r="A172" s="4"/>
      <c r="B172" s="1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25.5" customHeight="1">
      <c r="A173" s="4"/>
      <c r="B173" s="1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25.5" customHeight="1">
      <c r="A174" s="4"/>
      <c r="B174" s="1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25.5" customHeight="1">
      <c r="A175" s="4"/>
      <c r="B175" s="1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25.5" customHeight="1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25.5" customHeight="1">
      <c r="A177" s="4"/>
      <c r="B177" s="1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25.5" customHeight="1">
      <c r="A178" s="4"/>
      <c r="B178" s="1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25.5" customHeight="1">
      <c r="A179" s="4"/>
      <c r="B179" s="1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25.5" customHeight="1">
      <c r="A180" s="4"/>
      <c r="B180" s="1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25.5" customHeight="1">
      <c r="A181" s="4"/>
      <c r="B181" s="1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25.5" customHeight="1">
      <c r="A182" s="4"/>
      <c r="B182" s="1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25.5" customHeight="1">
      <c r="A183" s="4"/>
      <c r="B183" s="1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25.5" customHeight="1">
      <c r="A184" s="4"/>
      <c r="B184" s="1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25.5" customHeight="1">
      <c r="A185" s="4"/>
      <c r="B185" s="1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25.5" customHeight="1">
      <c r="A186" s="4"/>
      <c r="B186" s="1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25.5" customHeight="1">
      <c r="A187" s="4"/>
      <c r="B187" s="1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25.5" customHeight="1">
      <c r="A188" s="4"/>
      <c r="B188" s="1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25.5" customHeight="1">
      <c r="A189" s="4"/>
      <c r="B189" s="1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25.5" customHeight="1">
      <c r="A190" s="4"/>
      <c r="B190" s="1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25.5" customHeight="1">
      <c r="A191" s="4"/>
      <c r="B191" s="1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25.5" customHeight="1">
      <c r="A192" s="4"/>
      <c r="B192" s="1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25.5" customHeight="1">
      <c r="A193" s="4"/>
      <c r="B193" s="1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25.5" customHeight="1">
      <c r="A194" s="4"/>
      <c r="B194" s="1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25.5" customHeight="1">
      <c r="A195" s="4"/>
      <c r="B195" s="1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25.5" customHeight="1">
      <c r="A196" s="4"/>
      <c r="B196" s="1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25.5" customHeight="1">
      <c r="A197" s="4"/>
      <c r="B197" s="1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25.5" customHeight="1">
      <c r="A198" s="4"/>
      <c r="B198" s="1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25.5" customHeight="1">
      <c r="A199" s="4"/>
      <c r="B199" s="1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25.5" customHeight="1">
      <c r="A200" s="4"/>
      <c r="B200" s="1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25.5" customHeight="1">
      <c r="A201" s="4"/>
      <c r="B201" s="1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25.5" customHeight="1">
      <c r="A202" s="4"/>
      <c r="B202" s="1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25.5" customHeight="1">
      <c r="A203" s="4"/>
      <c r="B203" s="1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25.5" customHeight="1">
      <c r="A204" s="4"/>
      <c r="B204" s="1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25.5" customHeight="1">
      <c r="A205" s="4"/>
      <c r="B205" s="1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25.5" customHeight="1">
      <c r="A206" s="4"/>
      <c r="B206" s="1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25.5" customHeight="1">
      <c r="A207" s="4"/>
      <c r="B207" s="1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25.5" customHeight="1">
      <c r="A208" s="4"/>
      <c r="B208" s="1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25.5" customHeight="1">
      <c r="A209" s="4"/>
      <c r="B209" s="1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25.5" customHeight="1">
      <c r="A210" s="4"/>
      <c r="B210" s="1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25.5" customHeight="1">
      <c r="A211" s="4"/>
      <c r="B211" s="1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25.5" customHeight="1">
      <c r="A212" s="4"/>
      <c r="B212" s="1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25.5" customHeight="1">
      <c r="A213" s="4"/>
      <c r="B213" s="1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25.5" customHeight="1">
      <c r="A214" s="4"/>
      <c r="B214" s="1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25.5" customHeight="1">
      <c r="A215" s="4"/>
      <c r="B215" s="1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25.5" customHeight="1">
      <c r="A216" s="4"/>
      <c r="B216" s="1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25.5" customHeight="1">
      <c r="A217" s="4"/>
      <c r="B217" s="1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25.5" customHeight="1">
      <c r="A218" s="4"/>
      <c r="B218" s="1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25.5" customHeight="1">
      <c r="A219" s="4"/>
      <c r="B219" s="1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25.5" customHeight="1">
      <c r="A220" s="4"/>
      <c r="B220" s="1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25.5" customHeight="1">
      <c r="A221" s="4"/>
      <c r="B221" s="1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25.5" customHeight="1">
      <c r="A222" s="4"/>
      <c r="B222" s="1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25.5" customHeight="1">
      <c r="A223" s="4"/>
      <c r="B223" s="1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25.5" customHeight="1">
      <c r="A224" s="4"/>
      <c r="B224" s="1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25.5" customHeight="1">
      <c r="A225" s="4"/>
      <c r="B225" s="1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25.5" customHeight="1">
      <c r="A226" s="4"/>
      <c r="B226" s="1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25.5" customHeight="1">
      <c r="A227" s="4"/>
      <c r="B227" s="1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25.5" customHeight="1">
      <c r="A228" s="4"/>
      <c r="B228" s="1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25.5" customHeight="1">
      <c r="A229" s="4"/>
      <c r="B229" s="1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25.5" customHeight="1">
      <c r="A230" s="4"/>
      <c r="B230" s="1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25.5" customHeight="1">
      <c r="A231" s="4"/>
      <c r="B231" s="1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25.5" customHeight="1">
      <c r="A232" s="4"/>
      <c r="B232" s="1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25.5" customHeight="1">
      <c r="A233" s="4"/>
      <c r="B233" s="1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25.5" customHeight="1">
      <c r="A234" s="4"/>
      <c r="B234" s="1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25.5" customHeight="1">
      <c r="A235" s="4"/>
      <c r="B235" s="1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25.5" customHeight="1">
      <c r="A236" s="4"/>
      <c r="B236" s="1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25.5" customHeight="1">
      <c r="A237" s="4"/>
      <c r="B237" s="1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25.5" customHeight="1">
      <c r="A238" s="4"/>
      <c r="B238" s="1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25.5" customHeight="1">
      <c r="A239" s="4"/>
      <c r="B239" s="1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25.5" customHeight="1">
      <c r="A240" s="4"/>
      <c r="B240" s="1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25.5" customHeight="1">
      <c r="A241" s="4"/>
      <c r="B241" s="1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25.5" customHeight="1">
      <c r="A242" s="4"/>
      <c r="B242" s="1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25.5" customHeight="1">
      <c r="A243" s="4"/>
      <c r="B243" s="1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25.5" customHeight="1">
      <c r="A244" s="4"/>
      <c r="B244" s="1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25.5" customHeight="1">
      <c r="A245" s="4"/>
      <c r="B245" s="1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25.5" customHeight="1">
      <c r="A246" s="4"/>
      <c r="B246" s="1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25.5" customHeight="1">
      <c r="A247" s="4"/>
      <c r="B247" s="1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25.5" customHeight="1">
      <c r="A248" s="4"/>
      <c r="B248" s="1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25.5" customHeight="1">
      <c r="A249" s="4"/>
      <c r="B249" s="1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25.5" customHeight="1">
      <c r="A250" s="4"/>
      <c r="B250" s="1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25.5" customHeight="1">
      <c r="A251" s="4"/>
      <c r="B251" s="1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25.5" customHeight="1">
      <c r="A252" s="4"/>
      <c r="B252" s="1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25.5" customHeight="1">
      <c r="A253" s="4"/>
      <c r="B253" s="1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25.5" customHeight="1">
      <c r="A254" s="4"/>
      <c r="B254" s="1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25.5" customHeight="1">
      <c r="A255" s="4"/>
      <c r="B255" s="1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25.5" customHeight="1">
      <c r="A256" s="4"/>
      <c r="B256" s="1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25.5" customHeight="1">
      <c r="A257" s="4"/>
      <c r="B257" s="1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25.5" customHeight="1">
      <c r="A258" s="4"/>
      <c r="B258" s="1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25.5" customHeight="1">
      <c r="A259" s="4"/>
      <c r="B259" s="1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25.5" customHeight="1">
      <c r="A260" s="4"/>
      <c r="B260" s="1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25.5" customHeight="1">
      <c r="A261" s="4"/>
      <c r="B261" s="1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25.5" customHeight="1">
      <c r="A262" s="4"/>
      <c r="B262" s="1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25.5" customHeight="1">
      <c r="A263" s="4"/>
      <c r="B263" s="1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25.5" customHeight="1">
      <c r="A264" s="4"/>
      <c r="B264" s="1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25.5" customHeight="1">
      <c r="A265" s="4"/>
      <c r="B265" s="1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25.5" customHeight="1">
      <c r="A266" s="4"/>
      <c r="B266" s="1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25.5" customHeight="1">
      <c r="A267" s="4"/>
      <c r="B267" s="1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25.5" customHeight="1">
      <c r="A268" s="4"/>
      <c r="B268" s="1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25.5" customHeight="1">
      <c r="A269" s="4"/>
      <c r="B269" s="1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25.5" customHeight="1">
      <c r="A270" s="4"/>
      <c r="B270" s="1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25.5" customHeight="1">
      <c r="A271" s="4"/>
      <c r="B271" s="1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25.5" customHeight="1">
      <c r="A272" s="4"/>
      <c r="B272" s="1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25.5" customHeight="1">
      <c r="A273" s="4"/>
      <c r="B273" s="1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25.5" customHeight="1">
      <c r="A274" s="4"/>
      <c r="B274" s="1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25.5" customHeight="1">
      <c r="A275" s="4"/>
      <c r="B275" s="1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25.5" customHeight="1">
      <c r="A276" s="4"/>
      <c r="B276" s="1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25.5" customHeight="1">
      <c r="A277" s="4"/>
      <c r="B277" s="1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25.5" customHeight="1">
      <c r="A278" s="4"/>
      <c r="B278" s="1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25.5" customHeight="1">
      <c r="A279" s="4"/>
      <c r="B279" s="1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25.5" customHeight="1">
      <c r="A280" s="4"/>
      <c r="B280" s="1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25.5" customHeight="1">
      <c r="A281" s="4"/>
      <c r="B281" s="1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25.5" customHeight="1">
      <c r="A282" s="4"/>
      <c r="B282" s="1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25.5" customHeight="1">
      <c r="A283" s="4"/>
      <c r="B283" s="1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25.5" customHeight="1">
      <c r="A284" s="4"/>
      <c r="B284" s="1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25.5" customHeight="1">
      <c r="A285" s="4"/>
      <c r="B285" s="1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25.5" customHeight="1">
      <c r="A286" s="4"/>
      <c r="B286" s="1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25.5" customHeight="1">
      <c r="A287" s="4"/>
      <c r="B287" s="1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25.5" customHeight="1">
      <c r="A288" s="4"/>
      <c r="B288" s="1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25.5" customHeight="1">
      <c r="A289" s="4"/>
      <c r="B289" s="1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25.5" customHeight="1">
      <c r="A290" s="4"/>
      <c r="B290" s="1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25.5" customHeight="1">
      <c r="A291" s="4"/>
      <c r="B291" s="1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25.5" customHeight="1">
      <c r="A292" s="4"/>
      <c r="B292" s="1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25.5" customHeight="1">
      <c r="A293" s="4"/>
      <c r="B293" s="1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25.5" customHeight="1">
      <c r="A294" s="4"/>
      <c r="B294" s="1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25.5" customHeight="1">
      <c r="A295" s="4"/>
      <c r="B295" s="1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25.5" customHeight="1">
      <c r="A296" s="4"/>
      <c r="B296" s="1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25.5" customHeight="1">
      <c r="A297" s="4"/>
      <c r="B297" s="1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25.5" customHeight="1">
      <c r="A298" s="4"/>
      <c r="B298" s="1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25.5" customHeight="1">
      <c r="A299" s="4"/>
      <c r="B299" s="1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25.5" customHeight="1">
      <c r="A300" s="4"/>
      <c r="B300" s="1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25.5" customHeight="1">
      <c r="A301" s="4"/>
      <c r="B301" s="1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25.5" customHeight="1">
      <c r="A302" s="4"/>
      <c r="B302" s="1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25.5" customHeight="1">
      <c r="A303" s="4"/>
      <c r="B303" s="1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25.5" customHeight="1">
      <c r="A304" s="4"/>
      <c r="B304" s="1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25.5" customHeight="1">
      <c r="A305" s="4"/>
      <c r="B305" s="1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25.5" customHeight="1">
      <c r="A306" s="4"/>
      <c r="B306" s="1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25.5" customHeight="1">
      <c r="A307" s="4"/>
      <c r="B307" s="1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25.5" customHeight="1">
      <c r="A308" s="4"/>
      <c r="B308" s="1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25.5" customHeight="1">
      <c r="A309" s="4"/>
      <c r="B309" s="1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25.5" customHeight="1">
      <c r="A310" s="4"/>
      <c r="B310" s="1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25.5" customHeight="1">
      <c r="A311" s="4"/>
      <c r="B311" s="1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25.5" customHeight="1">
      <c r="A312" s="4"/>
      <c r="B312" s="1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25.5" customHeight="1">
      <c r="A313" s="4"/>
      <c r="B313" s="1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25.5" customHeight="1">
      <c r="A314" s="4"/>
      <c r="B314" s="1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25.5" customHeight="1">
      <c r="A315" s="4"/>
      <c r="B315" s="1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25.5" customHeight="1">
      <c r="A316" s="4"/>
      <c r="B316" s="1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25.5" customHeight="1">
      <c r="A317" s="4"/>
      <c r="B317" s="1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25.5" customHeight="1">
      <c r="A318" s="4"/>
      <c r="B318" s="1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25.5" customHeight="1">
      <c r="A319" s="4"/>
      <c r="B319" s="1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25.5" customHeight="1">
      <c r="A320" s="4"/>
      <c r="B320" s="1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25.5" customHeight="1">
      <c r="A321" s="4"/>
      <c r="B321" s="1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25.5" customHeight="1">
      <c r="A322" s="4"/>
      <c r="B322" s="1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25.5" customHeight="1">
      <c r="A323" s="4"/>
      <c r="B323" s="1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25.5" customHeight="1">
      <c r="A324" s="4"/>
      <c r="B324" s="1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25.5" customHeight="1">
      <c r="A325" s="4"/>
      <c r="B325" s="1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25.5" customHeight="1">
      <c r="A326" s="4"/>
      <c r="B326" s="1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25.5" customHeight="1">
      <c r="A327" s="4"/>
      <c r="B327" s="1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25.5" customHeight="1">
      <c r="A328" s="4"/>
      <c r="B328" s="1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25.5" customHeight="1">
      <c r="A329" s="4"/>
      <c r="B329" s="1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25.5" customHeight="1">
      <c r="A330" s="4"/>
      <c r="B330" s="1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25.5" customHeight="1">
      <c r="A331" s="4"/>
      <c r="B331" s="1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25.5" customHeight="1">
      <c r="A332" s="4"/>
      <c r="B332" s="1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25.5" customHeight="1">
      <c r="A333" s="4"/>
      <c r="B333" s="1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25.5" customHeight="1">
      <c r="A334" s="4"/>
      <c r="B334" s="1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25.5" customHeight="1">
      <c r="A335" s="4"/>
      <c r="B335" s="1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25.5" customHeight="1">
      <c r="A336" s="4"/>
      <c r="B336" s="1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25.5" customHeight="1">
      <c r="A337" s="4"/>
      <c r="B337" s="1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25.5" customHeight="1">
      <c r="A338" s="4"/>
      <c r="B338" s="1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25.5" customHeight="1">
      <c r="A339" s="4"/>
      <c r="B339" s="1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25.5" customHeight="1">
      <c r="A340" s="4"/>
      <c r="B340" s="1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25.5" customHeight="1">
      <c r="A341" s="4"/>
      <c r="B341" s="1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25.5" customHeight="1">
      <c r="A342" s="4"/>
      <c r="B342" s="1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25.5" customHeight="1">
      <c r="A343" s="4"/>
      <c r="B343" s="1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25.5" customHeight="1">
      <c r="A344" s="4"/>
      <c r="B344" s="1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25.5" customHeight="1">
      <c r="A345" s="4"/>
      <c r="B345" s="1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25.5" customHeight="1">
      <c r="A346" s="4"/>
      <c r="B346" s="1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25.5" customHeight="1">
      <c r="A347" s="4"/>
      <c r="B347" s="1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25.5" customHeight="1">
      <c r="A348" s="4"/>
      <c r="B348" s="1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25.5" customHeight="1">
      <c r="A349" s="4"/>
      <c r="B349" s="1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25.5" customHeight="1">
      <c r="A350" s="4"/>
      <c r="B350" s="1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25.5" customHeight="1">
      <c r="A351" s="4"/>
      <c r="B351" s="1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25.5" customHeight="1">
      <c r="A352" s="4"/>
      <c r="B352" s="1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25.5" customHeight="1">
      <c r="A353" s="4"/>
      <c r="B353" s="1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25.5" customHeight="1">
      <c r="A354" s="4"/>
      <c r="B354" s="1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25.5" customHeight="1">
      <c r="A355" s="4"/>
      <c r="B355" s="1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25.5" customHeight="1">
      <c r="A356" s="4"/>
      <c r="B356" s="1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25.5" customHeight="1">
      <c r="A357" s="4"/>
      <c r="B357" s="1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25.5" customHeight="1">
      <c r="A358" s="4"/>
      <c r="B358" s="1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25.5" customHeight="1">
      <c r="A359" s="4"/>
      <c r="B359" s="1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25.5" customHeight="1">
      <c r="A360" s="4"/>
      <c r="B360" s="1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25.5" customHeight="1">
      <c r="A361" s="4"/>
      <c r="B361" s="1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25.5" customHeight="1">
      <c r="A362" s="4"/>
      <c r="B362" s="1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25.5" customHeight="1">
      <c r="A363" s="4"/>
      <c r="B363" s="1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25.5" customHeight="1">
      <c r="A364" s="4"/>
      <c r="B364" s="1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25.5" customHeight="1">
      <c r="A365" s="4"/>
      <c r="B365" s="1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25.5" customHeight="1">
      <c r="A366" s="4"/>
      <c r="B366" s="1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25.5" customHeight="1">
      <c r="A367" s="4"/>
      <c r="B367" s="1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25.5" customHeight="1">
      <c r="A368" s="4"/>
      <c r="B368" s="1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25.5" customHeight="1">
      <c r="A369" s="4"/>
      <c r="B369" s="1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25.5" customHeight="1">
      <c r="A370" s="4"/>
      <c r="B370" s="1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25.5" customHeight="1">
      <c r="A371" s="4"/>
      <c r="B371" s="1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25.5" customHeight="1">
      <c r="A372" s="4"/>
      <c r="B372" s="1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25.5" customHeight="1">
      <c r="A373" s="4"/>
      <c r="B373" s="1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25.5" customHeight="1">
      <c r="A374" s="4"/>
      <c r="B374" s="1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25.5" customHeight="1">
      <c r="A375" s="4"/>
      <c r="B375" s="1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25.5" customHeight="1">
      <c r="A376" s="4"/>
      <c r="B376" s="1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25.5" customHeight="1">
      <c r="A377" s="4"/>
      <c r="B377" s="1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25.5" customHeight="1">
      <c r="A378" s="4"/>
      <c r="B378" s="1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25.5" customHeight="1">
      <c r="A379" s="4"/>
      <c r="B379" s="1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25.5" customHeight="1">
      <c r="A380" s="4"/>
      <c r="B380" s="1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25.5" customHeight="1">
      <c r="A381" s="4"/>
      <c r="B381" s="1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25.5" customHeight="1">
      <c r="A382" s="4"/>
      <c r="B382" s="1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25.5" customHeight="1">
      <c r="A383" s="4"/>
      <c r="B383" s="1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25.5" customHeight="1">
      <c r="A384" s="4"/>
      <c r="B384" s="1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25.5" customHeight="1">
      <c r="A385" s="4"/>
      <c r="B385" s="1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25.5" customHeight="1">
      <c r="A386" s="4"/>
      <c r="B386" s="1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25.5" customHeight="1">
      <c r="A387" s="4"/>
      <c r="B387" s="1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25.5" customHeight="1">
      <c r="A388" s="4"/>
      <c r="B388" s="1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25.5" customHeight="1">
      <c r="A389" s="4"/>
      <c r="B389" s="1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25.5" customHeight="1">
      <c r="A390" s="4"/>
      <c r="B390" s="1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25.5" customHeight="1">
      <c r="A391" s="4"/>
      <c r="B391" s="1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25.5" customHeight="1">
      <c r="A392" s="4"/>
      <c r="B392" s="1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25.5" customHeight="1">
      <c r="A393" s="4"/>
      <c r="B393" s="1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25.5" customHeight="1">
      <c r="A394" s="4"/>
      <c r="B394" s="1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25.5" customHeight="1">
      <c r="A395" s="4"/>
      <c r="B395" s="1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25.5" customHeight="1">
      <c r="A396" s="4"/>
      <c r="B396" s="1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25.5" customHeight="1">
      <c r="A397" s="4"/>
      <c r="B397" s="1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25.5" customHeight="1">
      <c r="A398" s="4"/>
      <c r="B398" s="1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25.5" customHeight="1">
      <c r="A399" s="4"/>
      <c r="B399" s="1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25.5" customHeight="1">
      <c r="A400" s="4"/>
      <c r="B400" s="1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25.5" customHeight="1">
      <c r="A401" s="4"/>
      <c r="B401" s="1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25.5" customHeight="1">
      <c r="A402" s="4"/>
      <c r="B402" s="1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25.5" customHeight="1">
      <c r="A403" s="4"/>
      <c r="B403" s="1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25.5" customHeight="1">
      <c r="A404" s="4"/>
      <c r="B404" s="1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25.5" customHeight="1">
      <c r="A405" s="4"/>
      <c r="B405" s="1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25.5" customHeight="1">
      <c r="A406" s="4"/>
      <c r="B406" s="1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25.5" customHeight="1">
      <c r="A407" s="4"/>
      <c r="B407" s="1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25.5" customHeight="1">
      <c r="A408" s="4"/>
      <c r="B408" s="1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25.5" customHeight="1">
      <c r="A409" s="4"/>
      <c r="B409" s="1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25.5" customHeight="1">
      <c r="A410" s="4"/>
      <c r="B410" s="1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25.5" customHeight="1">
      <c r="A411" s="4"/>
      <c r="B411" s="1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25.5" customHeight="1">
      <c r="A412" s="4"/>
      <c r="B412" s="1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25.5" customHeight="1">
      <c r="A413" s="4"/>
      <c r="B413" s="1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25.5" customHeight="1">
      <c r="A414" s="4"/>
      <c r="B414" s="1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25.5" customHeight="1">
      <c r="A415" s="4"/>
      <c r="B415" s="1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25.5" customHeight="1">
      <c r="A416" s="4"/>
      <c r="B416" s="1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25.5" customHeight="1">
      <c r="A417" s="4"/>
      <c r="B417" s="1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25.5" customHeight="1">
      <c r="A418" s="4"/>
      <c r="B418" s="1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25.5" customHeight="1">
      <c r="A419" s="4"/>
      <c r="B419" s="1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25.5" customHeight="1">
      <c r="A420" s="4"/>
      <c r="B420" s="1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25.5" customHeight="1">
      <c r="A421" s="4"/>
      <c r="B421" s="1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25.5" customHeight="1">
      <c r="A422" s="4"/>
      <c r="B422" s="1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25.5" customHeight="1">
      <c r="A423" s="4"/>
      <c r="B423" s="1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25.5" customHeight="1">
      <c r="A424" s="4"/>
      <c r="B424" s="1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25.5" customHeight="1">
      <c r="A425" s="4"/>
      <c r="B425" s="1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25.5" customHeight="1">
      <c r="A426" s="4"/>
      <c r="B426" s="1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25.5" customHeight="1">
      <c r="A427" s="4"/>
      <c r="B427" s="1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25.5" customHeight="1">
      <c r="A428" s="4"/>
      <c r="B428" s="1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25.5" customHeight="1">
      <c r="A429" s="4"/>
      <c r="B429" s="1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25.5" customHeight="1">
      <c r="A430" s="4"/>
      <c r="B430" s="1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25.5" customHeight="1">
      <c r="A431" s="4"/>
      <c r="B431" s="1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25.5" customHeight="1">
      <c r="A432" s="4"/>
      <c r="B432" s="1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25.5" customHeight="1">
      <c r="A433" s="4"/>
      <c r="B433" s="1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25.5" customHeight="1">
      <c r="A434" s="4"/>
      <c r="B434" s="1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25.5" customHeight="1">
      <c r="A435" s="4"/>
      <c r="B435" s="1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25.5" customHeight="1">
      <c r="A436" s="4"/>
      <c r="B436" s="1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25.5" customHeight="1">
      <c r="A437" s="4"/>
      <c r="B437" s="1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25.5" customHeight="1">
      <c r="A438" s="4"/>
      <c r="B438" s="1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25.5" customHeight="1">
      <c r="A439" s="4"/>
      <c r="B439" s="1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25.5" customHeight="1">
      <c r="A440" s="4"/>
      <c r="B440" s="1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25.5" customHeight="1">
      <c r="A441" s="4"/>
      <c r="B441" s="1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25.5" customHeight="1">
      <c r="A442" s="4"/>
      <c r="B442" s="1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25.5" customHeight="1">
      <c r="A443" s="4"/>
      <c r="B443" s="1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25.5" customHeight="1">
      <c r="A444" s="4"/>
      <c r="B444" s="1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25.5" customHeight="1">
      <c r="A445" s="4"/>
      <c r="B445" s="1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25.5" customHeight="1">
      <c r="A446" s="4"/>
      <c r="B446" s="1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25.5" customHeight="1">
      <c r="A447" s="4"/>
      <c r="B447" s="1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25.5" customHeight="1">
      <c r="A448" s="4"/>
      <c r="B448" s="1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25.5" customHeight="1">
      <c r="A449" s="4"/>
      <c r="B449" s="1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25.5" customHeight="1">
      <c r="A450" s="4"/>
      <c r="B450" s="1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25.5" customHeight="1">
      <c r="A451" s="4"/>
      <c r="B451" s="1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25.5" customHeight="1">
      <c r="A452" s="4"/>
      <c r="B452" s="1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25.5" customHeight="1">
      <c r="A453" s="4"/>
      <c r="B453" s="1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25.5" customHeight="1">
      <c r="A454" s="4"/>
      <c r="B454" s="1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25.5" customHeight="1">
      <c r="A455" s="4"/>
      <c r="B455" s="1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25.5" customHeight="1">
      <c r="A456" s="4"/>
      <c r="B456" s="1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25.5" customHeight="1">
      <c r="A457" s="4"/>
      <c r="B457" s="1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25.5" customHeight="1">
      <c r="A458" s="4"/>
      <c r="B458" s="1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25.5" customHeight="1">
      <c r="A459" s="4"/>
      <c r="B459" s="1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25.5" customHeight="1">
      <c r="A460" s="4"/>
      <c r="B460" s="1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25.5" customHeight="1">
      <c r="A461" s="4"/>
      <c r="B461" s="1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25.5" customHeight="1">
      <c r="A462" s="4"/>
      <c r="B462" s="1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25.5" customHeight="1">
      <c r="A463" s="4"/>
      <c r="B463" s="1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25.5" customHeight="1">
      <c r="A464" s="4"/>
      <c r="B464" s="1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25.5" customHeight="1">
      <c r="A465" s="4"/>
      <c r="B465" s="1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25.5" customHeight="1">
      <c r="A466" s="4"/>
      <c r="B466" s="1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25.5" customHeight="1">
      <c r="A467" s="4"/>
      <c r="B467" s="1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25.5" customHeight="1">
      <c r="A468" s="4"/>
      <c r="B468" s="1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25.5" customHeight="1">
      <c r="A469" s="4"/>
      <c r="B469" s="1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25.5" customHeight="1">
      <c r="A470" s="4"/>
      <c r="B470" s="1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25.5" customHeight="1">
      <c r="A471" s="4"/>
      <c r="B471" s="1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25.5" customHeight="1">
      <c r="A472" s="4"/>
      <c r="B472" s="1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25.5" customHeight="1">
      <c r="A473" s="4"/>
      <c r="B473" s="1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25.5" customHeight="1">
      <c r="A474" s="4"/>
      <c r="B474" s="1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25.5" customHeight="1">
      <c r="A475" s="4"/>
      <c r="B475" s="1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25.5" customHeight="1">
      <c r="A476" s="4"/>
      <c r="B476" s="1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25.5" customHeight="1">
      <c r="A477" s="4"/>
      <c r="B477" s="1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25.5" customHeight="1">
      <c r="A478" s="4"/>
      <c r="B478" s="1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25.5" customHeight="1">
      <c r="A479" s="4"/>
      <c r="B479" s="1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25.5" customHeight="1">
      <c r="A480" s="4"/>
      <c r="B480" s="1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25.5" customHeight="1">
      <c r="A481" s="4"/>
      <c r="B481" s="1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25.5" customHeight="1">
      <c r="A482" s="4"/>
      <c r="B482" s="1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25.5" customHeight="1">
      <c r="A483" s="4"/>
      <c r="B483" s="1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25.5" customHeight="1">
      <c r="A484" s="4"/>
      <c r="B484" s="1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25.5" customHeight="1">
      <c r="A485" s="4"/>
      <c r="B485" s="1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25.5" customHeight="1">
      <c r="A486" s="4"/>
      <c r="B486" s="1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25.5" customHeight="1">
      <c r="A487" s="4"/>
      <c r="B487" s="1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25.5" customHeight="1">
      <c r="A488" s="4"/>
      <c r="B488" s="1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25.5" customHeight="1">
      <c r="A489" s="4"/>
      <c r="B489" s="1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25.5" customHeight="1">
      <c r="A490" s="4"/>
      <c r="B490" s="1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25.5" customHeight="1">
      <c r="A491" s="4"/>
      <c r="B491" s="1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25.5" customHeight="1">
      <c r="A492" s="4"/>
      <c r="B492" s="1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25.5" customHeight="1">
      <c r="A493" s="4"/>
      <c r="B493" s="1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25.5" customHeight="1">
      <c r="A494" s="4"/>
      <c r="B494" s="1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25.5" customHeight="1">
      <c r="A495" s="4"/>
      <c r="B495" s="1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25.5" customHeight="1">
      <c r="A496" s="4"/>
      <c r="B496" s="1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25.5" customHeight="1">
      <c r="A497" s="4"/>
      <c r="B497" s="1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25.5" customHeight="1">
      <c r="A498" s="4"/>
      <c r="B498" s="1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25.5" customHeight="1">
      <c r="A499" s="4"/>
      <c r="B499" s="1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25.5" customHeight="1">
      <c r="A500" s="4"/>
      <c r="B500" s="1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25.5" customHeight="1">
      <c r="A501" s="4"/>
      <c r="B501" s="1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25.5" customHeight="1">
      <c r="A502" s="4"/>
      <c r="B502" s="1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25.5" customHeight="1">
      <c r="A503" s="4"/>
      <c r="B503" s="1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25.5" customHeight="1">
      <c r="A504" s="4"/>
      <c r="B504" s="1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25.5" customHeight="1">
      <c r="A505" s="4"/>
      <c r="B505" s="1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25.5" customHeight="1">
      <c r="A506" s="4"/>
      <c r="B506" s="1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25.5" customHeight="1">
      <c r="A507" s="4"/>
      <c r="B507" s="1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25.5" customHeight="1">
      <c r="A508" s="4"/>
      <c r="B508" s="1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25.5" customHeight="1">
      <c r="A509" s="4"/>
      <c r="B509" s="1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25.5" customHeight="1">
      <c r="A510" s="4"/>
      <c r="B510" s="1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25.5" customHeight="1">
      <c r="A511" s="4"/>
      <c r="B511" s="1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25.5" customHeight="1">
      <c r="A512" s="4"/>
      <c r="B512" s="1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25.5" customHeight="1">
      <c r="A513" s="4"/>
      <c r="B513" s="1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25.5" customHeight="1">
      <c r="A514" s="4"/>
      <c r="B514" s="1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25.5" customHeight="1">
      <c r="A515" s="4"/>
      <c r="B515" s="1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25.5" customHeight="1">
      <c r="A516" s="4"/>
      <c r="B516" s="1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25.5" customHeight="1">
      <c r="A517" s="4"/>
      <c r="B517" s="1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25.5" customHeight="1">
      <c r="A518" s="4"/>
      <c r="B518" s="1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25.5" customHeight="1">
      <c r="A519" s="4"/>
      <c r="B519" s="1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25.5" customHeight="1">
      <c r="A520" s="4"/>
      <c r="B520" s="1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25.5" customHeight="1">
      <c r="A521" s="4"/>
      <c r="B521" s="1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25.5" customHeight="1">
      <c r="A522" s="4"/>
      <c r="B522" s="1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25.5" customHeight="1">
      <c r="A523" s="4"/>
      <c r="B523" s="1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25.5" customHeight="1">
      <c r="A524" s="4"/>
      <c r="B524" s="1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25.5" customHeight="1">
      <c r="A525" s="4"/>
      <c r="B525" s="1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25.5" customHeight="1">
      <c r="A526" s="4"/>
      <c r="B526" s="1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25.5" customHeight="1">
      <c r="A527" s="4"/>
      <c r="B527" s="1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25.5" customHeight="1">
      <c r="A528" s="4"/>
      <c r="B528" s="1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25.5" customHeight="1">
      <c r="A529" s="4"/>
      <c r="B529" s="1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25.5" customHeight="1">
      <c r="A530" s="4"/>
      <c r="B530" s="1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25.5" customHeight="1">
      <c r="A531" s="4"/>
      <c r="B531" s="1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25.5" customHeight="1">
      <c r="A532" s="4"/>
      <c r="B532" s="1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25.5" customHeight="1">
      <c r="A533" s="4"/>
      <c r="B533" s="1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25.5" customHeight="1">
      <c r="A534" s="4"/>
      <c r="B534" s="1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25.5" customHeight="1">
      <c r="A535" s="4"/>
      <c r="B535" s="1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25.5" customHeight="1">
      <c r="A536" s="4"/>
      <c r="B536" s="1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25.5" customHeight="1">
      <c r="A537" s="4"/>
      <c r="B537" s="1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25.5" customHeight="1">
      <c r="A538" s="4"/>
      <c r="B538" s="1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25.5" customHeight="1">
      <c r="A539" s="4"/>
      <c r="B539" s="1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25.5" customHeight="1">
      <c r="A540" s="4"/>
      <c r="B540" s="1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25.5" customHeight="1">
      <c r="A541" s="4"/>
      <c r="B541" s="1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25.5" customHeight="1">
      <c r="A542" s="4"/>
      <c r="B542" s="1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25.5" customHeight="1">
      <c r="A543" s="4"/>
      <c r="B543" s="1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25.5" customHeight="1">
      <c r="A544" s="4"/>
      <c r="B544" s="1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25.5" customHeight="1">
      <c r="A545" s="4"/>
      <c r="B545" s="1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25.5" customHeight="1">
      <c r="A546" s="4"/>
      <c r="B546" s="1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25.5" customHeight="1">
      <c r="A547" s="4"/>
      <c r="B547" s="1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25.5" customHeight="1">
      <c r="A548" s="4"/>
      <c r="B548" s="1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25.5" customHeight="1">
      <c r="A549" s="4"/>
      <c r="B549" s="1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25.5" customHeight="1">
      <c r="A550" s="4"/>
      <c r="B550" s="1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25.5" customHeight="1">
      <c r="A551" s="4"/>
      <c r="B551" s="1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25.5" customHeight="1">
      <c r="A552" s="4"/>
      <c r="B552" s="1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25.5" customHeight="1">
      <c r="A553" s="4"/>
      <c r="B553" s="1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25.5" customHeight="1">
      <c r="A554" s="4"/>
      <c r="B554" s="1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25.5" customHeight="1">
      <c r="A555" s="4"/>
      <c r="B555" s="1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25.5" customHeight="1">
      <c r="A556" s="4"/>
      <c r="B556" s="1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25.5" customHeight="1">
      <c r="A557" s="4"/>
      <c r="B557" s="1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25.5" customHeight="1">
      <c r="A558" s="4"/>
      <c r="B558" s="1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25.5" customHeight="1">
      <c r="A559" s="4"/>
      <c r="B559" s="1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25.5" customHeight="1">
      <c r="A560" s="4"/>
      <c r="B560" s="1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25.5" customHeight="1">
      <c r="A561" s="4"/>
      <c r="B561" s="1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25.5" customHeight="1">
      <c r="A562" s="4"/>
      <c r="B562" s="1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25.5" customHeight="1">
      <c r="A563" s="4"/>
      <c r="B563" s="1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25.5" customHeight="1">
      <c r="A564" s="4"/>
      <c r="B564" s="1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25.5" customHeight="1">
      <c r="A565" s="4"/>
      <c r="B565" s="1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25.5" customHeight="1">
      <c r="A566" s="4"/>
      <c r="B566" s="1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25.5" customHeight="1">
      <c r="A567" s="4"/>
      <c r="B567" s="1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25.5" customHeight="1">
      <c r="A568" s="4"/>
      <c r="B568" s="1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25.5" customHeight="1">
      <c r="A569" s="4"/>
      <c r="B569" s="1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25.5" customHeight="1">
      <c r="A570" s="4"/>
      <c r="B570" s="1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25.5" customHeight="1">
      <c r="A571" s="4"/>
      <c r="B571" s="1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25.5" customHeight="1">
      <c r="A572" s="4"/>
      <c r="B572" s="1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25.5" customHeight="1">
      <c r="A573" s="4"/>
      <c r="B573" s="1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25.5" customHeight="1">
      <c r="A574" s="4"/>
      <c r="B574" s="1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25.5" customHeight="1">
      <c r="A575" s="4"/>
      <c r="B575" s="1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25.5" customHeight="1">
      <c r="A576" s="4"/>
      <c r="B576" s="1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25.5" customHeight="1">
      <c r="A577" s="4"/>
      <c r="B577" s="1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25.5" customHeight="1">
      <c r="A578" s="4"/>
      <c r="B578" s="1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25.5" customHeight="1">
      <c r="A579" s="4"/>
      <c r="B579" s="1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25.5" customHeight="1">
      <c r="A580" s="4"/>
      <c r="B580" s="1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25.5" customHeight="1">
      <c r="A581" s="4"/>
      <c r="B581" s="1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25.5" customHeight="1">
      <c r="A582" s="4"/>
      <c r="B582" s="1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25.5" customHeight="1">
      <c r="A583" s="4"/>
      <c r="B583" s="1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25.5" customHeight="1">
      <c r="A584" s="4"/>
      <c r="B584" s="1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25.5" customHeight="1">
      <c r="A585" s="4"/>
      <c r="B585" s="1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25.5" customHeight="1">
      <c r="A586" s="4"/>
      <c r="B586" s="1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25.5" customHeight="1">
      <c r="A587" s="4"/>
      <c r="B587" s="1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25.5" customHeight="1">
      <c r="A588" s="4"/>
      <c r="B588" s="1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25.5" customHeight="1">
      <c r="A589" s="4"/>
      <c r="B589" s="1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25.5" customHeight="1">
      <c r="A590" s="4"/>
      <c r="B590" s="1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25.5" customHeight="1">
      <c r="A591" s="4"/>
      <c r="B591" s="1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25.5" customHeight="1">
      <c r="A592" s="4"/>
      <c r="B592" s="1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25.5" customHeight="1">
      <c r="A593" s="4"/>
      <c r="B593" s="1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25.5" customHeight="1">
      <c r="A594" s="4"/>
      <c r="B594" s="1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25.5" customHeight="1">
      <c r="A595" s="4"/>
      <c r="B595" s="1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25.5" customHeight="1">
      <c r="A596" s="4"/>
      <c r="B596" s="1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25.5" customHeight="1">
      <c r="A597" s="4"/>
      <c r="B597" s="1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25.5" customHeight="1">
      <c r="A598" s="4"/>
      <c r="B598" s="1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25.5" customHeight="1">
      <c r="A599" s="4"/>
      <c r="B599" s="1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25.5" customHeight="1">
      <c r="A600" s="4"/>
      <c r="B600" s="1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25.5" customHeight="1">
      <c r="A601" s="4"/>
      <c r="B601" s="1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25.5" customHeight="1">
      <c r="A602" s="4"/>
      <c r="B602" s="1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25.5" customHeight="1">
      <c r="A603" s="4"/>
      <c r="B603" s="1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25.5" customHeight="1">
      <c r="A604" s="4"/>
      <c r="B604" s="1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25.5" customHeight="1">
      <c r="A605" s="4"/>
      <c r="B605" s="1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25.5" customHeight="1">
      <c r="A606" s="4"/>
      <c r="B606" s="1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25.5" customHeight="1">
      <c r="A607" s="4"/>
      <c r="B607" s="1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25.5" customHeight="1">
      <c r="A608" s="4"/>
      <c r="B608" s="1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25.5" customHeight="1">
      <c r="A609" s="4"/>
      <c r="B609" s="1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25.5" customHeight="1">
      <c r="A610" s="4"/>
      <c r="B610" s="1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25.5" customHeight="1">
      <c r="A611" s="4"/>
      <c r="B611" s="1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25.5" customHeight="1">
      <c r="A612" s="4"/>
      <c r="B612" s="1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25.5" customHeight="1">
      <c r="A613" s="4"/>
      <c r="B613" s="1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25.5" customHeight="1">
      <c r="A614" s="4"/>
      <c r="B614" s="1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25.5" customHeight="1">
      <c r="A615" s="4"/>
      <c r="B615" s="1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25.5" customHeight="1">
      <c r="A616" s="4"/>
      <c r="B616" s="1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25.5" customHeight="1">
      <c r="A617" s="4"/>
      <c r="B617" s="1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25.5" customHeight="1">
      <c r="A618" s="4"/>
      <c r="B618" s="1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25.5" customHeight="1">
      <c r="A619" s="4"/>
      <c r="B619" s="1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25.5" customHeight="1">
      <c r="A620" s="4"/>
      <c r="B620" s="1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25.5" customHeight="1">
      <c r="A621" s="4"/>
      <c r="B621" s="1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25.5" customHeight="1">
      <c r="A622" s="4"/>
      <c r="B622" s="1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25.5" customHeight="1">
      <c r="A623" s="4"/>
      <c r="B623" s="1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25.5" customHeight="1">
      <c r="A624" s="4"/>
      <c r="B624" s="1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25.5" customHeight="1">
      <c r="A625" s="4"/>
      <c r="B625" s="1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25.5" customHeight="1">
      <c r="A626" s="4"/>
      <c r="B626" s="1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25.5" customHeight="1">
      <c r="A627" s="4"/>
      <c r="B627" s="1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25.5" customHeight="1">
      <c r="A628" s="4"/>
      <c r="B628" s="1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25.5" customHeight="1">
      <c r="A629" s="4"/>
      <c r="B629" s="1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25.5" customHeight="1">
      <c r="A630" s="4"/>
      <c r="B630" s="1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25.5" customHeight="1">
      <c r="A631" s="4"/>
      <c r="B631" s="1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25.5" customHeight="1">
      <c r="A632" s="4"/>
      <c r="B632" s="1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25.5" customHeight="1">
      <c r="A633" s="4"/>
      <c r="B633" s="1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25.5" customHeight="1">
      <c r="A634" s="4"/>
      <c r="B634" s="1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25.5" customHeight="1">
      <c r="A635" s="4"/>
      <c r="B635" s="1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25.5" customHeight="1">
      <c r="A636" s="4"/>
      <c r="B636" s="1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25.5" customHeight="1">
      <c r="A637" s="4"/>
      <c r="B637" s="1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25.5" customHeight="1">
      <c r="A638" s="4"/>
      <c r="B638" s="1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25.5" customHeight="1">
      <c r="A639" s="4"/>
      <c r="B639" s="1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25.5" customHeight="1">
      <c r="A640" s="4"/>
      <c r="B640" s="1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25.5" customHeight="1">
      <c r="A641" s="4"/>
      <c r="B641" s="1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25.5" customHeight="1">
      <c r="A642" s="4"/>
      <c r="B642" s="1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25.5" customHeight="1">
      <c r="A643" s="4"/>
      <c r="B643" s="1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25.5" customHeight="1">
      <c r="A644" s="4"/>
      <c r="B644" s="1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25.5" customHeight="1">
      <c r="A645" s="4"/>
      <c r="B645" s="1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25.5" customHeight="1">
      <c r="A646" s="4"/>
      <c r="B646" s="1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25.5" customHeight="1">
      <c r="A647" s="4"/>
      <c r="B647" s="1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25.5" customHeight="1">
      <c r="A648" s="4"/>
      <c r="B648" s="1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25.5" customHeight="1">
      <c r="A649" s="4"/>
      <c r="B649" s="1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25.5" customHeight="1">
      <c r="A650" s="4"/>
      <c r="B650" s="1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25.5" customHeight="1">
      <c r="A651" s="4"/>
      <c r="B651" s="1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25.5" customHeight="1">
      <c r="A652" s="4"/>
      <c r="B652" s="1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25.5" customHeight="1">
      <c r="A653" s="4"/>
      <c r="B653" s="1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25.5" customHeight="1">
      <c r="A654" s="4"/>
      <c r="B654" s="1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25.5" customHeight="1">
      <c r="A655" s="4"/>
      <c r="B655" s="1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25.5" customHeight="1">
      <c r="A656" s="4"/>
      <c r="B656" s="1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25.5" customHeight="1">
      <c r="A657" s="4"/>
      <c r="B657" s="1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25.5" customHeight="1">
      <c r="A658" s="4"/>
      <c r="B658" s="1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25.5" customHeight="1">
      <c r="A659" s="4"/>
      <c r="B659" s="1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25.5" customHeight="1">
      <c r="A660" s="4"/>
      <c r="B660" s="1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25.5" customHeight="1">
      <c r="A661" s="4"/>
      <c r="B661" s="1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25.5" customHeight="1">
      <c r="A662" s="4"/>
      <c r="B662" s="1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25.5" customHeight="1">
      <c r="A663" s="4"/>
      <c r="B663" s="1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25.5" customHeight="1">
      <c r="A664" s="4"/>
      <c r="B664" s="1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25.5" customHeight="1">
      <c r="A665" s="4"/>
      <c r="B665" s="1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25.5" customHeight="1">
      <c r="A666" s="4"/>
      <c r="B666" s="1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25.5" customHeight="1">
      <c r="A667" s="4"/>
      <c r="B667" s="1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25.5" customHeight="1">
      <c r="A668" s="4"/>
      <c r="B668" s="1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25.5" customHeight="1">
      <c r="A669" s="4"/>
      <c r="B669" s="1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25.5" customHeight="1">
      <c r="A670" s="4"/>
      <c r="B670" s="1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25.5" customHeight="1">
      <c r="A671" s="4"/>
      <c r="B671" s="1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25.5" customHeight="1">
      <c r="A672" s="4"/>
      <c r="B672" s="1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25.5" customHeight="1">
      <c r="A673" s="4"/>
      <c r="B673" s="1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25.5" customHeight="1">
      <c r="A674" s="4"/>
      <c r="B674" s="1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25.5" customHeight="1">
      <c r="A675" s="4"/>
      <c r="B675" s="1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25.5" customHeight="1">
      <c r="A676" s="4"/>
      <c r="B676" s="1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25.5" customHeight="1">
      <c r="A677" s="4"/>
      <c r="B677" s="1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25.5" customHeight="1">
      <c r="A678" s="4"/>
      <c r="B678" s="1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25.5" customHeight="1">
      <c r="A679" s="4"/>
      <c r="B679" s="1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25.5" customHeight="1">
      <c r="A680" s="4"/>
      <c r="B680" s="1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25.5" customHeight="1">
      <c r="A681" s="4"/>
      <c r="B681" s="1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25.5" customHeight="1">
      <c r="A682" s="4"/>
      <c r="B682" s="1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25.5" customHeight="1">
      <c r="A683" s="4"/>
      <c r="B683" s="1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25.5" customHeight="1">
      <c r="A684" s="4"/>
      <c r="B684" s="1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25.5" customHeight="1">
      <c r="A685" s="4"/>
      <c r="B685" s="1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25.5" customHeight="1">
      <c r="A686" s="4"/>
      <c r="B686" s="1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25.5" customHeight="1">
      <c r="A687" s="4"/>
      <c r="B687" s="1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25.5" customHeight="1">
      <c r="A688" s="4"/>
      <c r="B688" s="1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25.5" customHeight="1">
      <c r="A689" s="4"/>
      <c r="B689" s="1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25.5" customHeight="1">
      <c r="A690" s="4"/>
      <c r="B690" s="1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25.5" customHeight="1">
      <c r="A691" s="4"/>
      <c r="B691" s="1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25.5" customHeight="1">
      <c r="A692" s="4"/>
      <c r="B692" s="1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25.5" customHeight="1">
      <c r="A693" s="4"/>
      <c r="B693" s="1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25.5" customHeight="1">
      <c r="A694" s="4"/>
      <c r="B694" s="1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25.5" customHeight="1">
      <c r="A695" s="4"/>
      <c r="B695" s="1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25.5" customHeight="1">
      <c r="A696" s="4"/>
      <c r="B696" s="1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25.5" customHeight="1">
      <c r="A697" s="4"/>
      <c r="B697" s="1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25.5" customHeight="1">
      <c r="A698" s="4"/>
      <c r="B698" s="1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25.5" customHeight="1">
      <c r="A699" s="4"/>
      <c r="B699" s="1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25.5" customHeight="1">
      <c r="A700" s="4"/>
      <c r="B700" s="1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25.5" customHeight="1">
      <c r="A701" s="4"/>
      <c r="B701" s="1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25.5" customHeight="1">
      <c r="A702" s="4"/>
      <c r="B702" s="1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25.5" customHeight="1">
      <c r="A703" s="4"/>
      <c r="B703" s="1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25.5" customHeight="1">
      <c r="A704" s="4"/>
      <c r="B704" s="1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25.5" customHeight="1">
      <c r="A705" s="4"/>
      <c r="B705" s="1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25.5" customHeight="1">
      <c r="A706" s="4"/>
      <c r="B706" s="1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25.5" customHeight="1">
      <c r="A707" s="4"/>
      <c r="B707" s="1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25.5" customHeight="1">
      <c r="A708" s="4"/>
      <c r="B708" s="1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25.5" customHeight="1">
      <c r="A709" s="4"/>
      <c r="B709" s="1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25.5" customHeight="1">
      <c r="A710" s="4"/>
      <c r="B710" s="1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25.5" customHeight="1">
      <c r="A711" s="4"/>
      <c r="B711" s="1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25.5" customHeight="1">
      <c r="A712" s="4"/>
      <c r="B712" s="1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25.5" customHeight="1">
      <c r="A713" s="4"/>
      <c r="B713" s="1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25.5" customHeight="1">
      <c r="A714" s="4"/>
      <c r="B714" s="1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25.5" customHeight="1">
      <c r="A715" s="4"/>
      <c r="B715" s="1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25.5" customHeight="1">
      <c r="A716" s="4"/>
      <c r="B716" s="1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25.5" customHeight="1">
      <c r="A717" s="4"/>
      <c r="B717" s="1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25.5" customHeight="1">
      <c r="A718" s="4"/>
      <c r="B718" s="1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25.5" customHeight="1">
      <c r="A719" s="4"/>
      <c r="B719" s="1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25.5" customHeight="1">
      <c r="A720" s="4"/>
      <c r="B720" s="1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25.5" customHeight="1">
      <c r="A721" s="4"/>
      <c r="B721" s="1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25.5" customHeight="1">
      <c r="A722" s="4"/>
      <c r="B722" s="1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25.5" customHeight="1">
      <c r="A723" s="4"/>
      <c r="B723" s="1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25.5" customHeight="1">
      <c r="A724" s="4"/>
      <c r="B724" s="1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25.5" customHeight="1">
      <c r="A725" s="4"/>
      <c r="B725" s="1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25.5" customHeight="1">
      <c r="A726" s="4"/>
      <c r="B726" s="1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25.5" customHeight="1">
      <c r="A727" s="4"/>
      <c r="B727" s="1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25.5" customHeight="1">
      <c r="A728" s="4"/>
      <c r="B728" s="1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25.5" customHeight="1">
      <c r="A729" s="4"/>
      <c r="B729" s="1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25.5" customHeight="1">
      <c r="A730" s="4"/>
      <c r="B730" s="1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25.5" customHeight="1">
      <c r="A731" s="4"/>
      <c r="B731" s="1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25.5" customHeight="1">
      <c r="A732" s="4"/>
      <c r="B732" s="1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25.5" customHeight="1">
      <c r="A733" s="4"/>
      <c r="B733" s="1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25.5" customHeight="1">
      <c r="A734" s="4"/>
      <c r="B734" s="1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25.5" customHeight="1">
      <c r="A735" s="4"/>
      <c r="B735" s="1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25.5" customHeight="1">
      <c r="A736" s="4"/>
      <c r="B736" s="1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25.5" customHeight="1">
      <c r="A737" s="4"/>
      <c r="B737" s="1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25.5" customHeight="1">
      <c r="A738" s="4"/>
      <c r="B738" s="1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25.5" customHeight="1">
      <c r="A739" s="4"/>
      <c r="B739" s="1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25.5" customHeight="1">
      <c r="A740" s="4"/>
      <c r="B740" s="1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25.5" customHeight="1">
      <c r="A741" s="4"/>
      <c r="B741" s="1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25.5" customHeight="1">
      <c r="A742" s="4"/>
      <c r="B742" s="1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25.5" customHeight="1">
      <c r="A743" s="4"/>
      <c r="B743" s="1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25.5" customHeight="1">
      <c r="A744" s="4"/>
      <c r="B744" s="1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25.5" customHeight="1">
      <c r="A745" s="4"/>
      <c r="B745" s="1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25.5" customHeight="1">
      <c r="A746" s="4"/>
      <c r="B746" s="1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25.5" customHeight="1">
      <c r="A747" s="4"/>
      <c r="B747" s="1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25.5" customHeight="1">
      <c r="A748" s="4"/>
      <c r="B748" s="1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25.5" customHeight="1">
      <c r="A749" s="4"/>
      <c r="B749" s="1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25.5" customHeight="1">
      <c r="A750" s="4"/>
      <c r="B750" s="1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25.5" customHeight="1">
      <c r="A751" s="4"/>
      <c r="B751" s="1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25.5" customHeight="1">
      <c r="A752" s="4"/>
      <c r="B752" s="1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25.5" customHeight="1">
      <c r="A753" s="4"/>
      <c r="B753" s="1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25.5" customHeight="1">
      <c r="A754" s="4"/>
      <c r="B754" s="1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25.5" customHeight="1">
      <c r="A755" s="4"/>
      <c r="B755" s="1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25.5" customHeight="1">
      <c r="A756" s="4"/>
      <c r="B756" s="1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25.5" customHeight="1">
      <c r="A757" s="4"/>
      <c r="B757" s="1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25.5" customHeight="1">
      <c r="A758" s="4"/>
      <c r="B758" s="1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25.5" customHeight="1">
      <c r="A759" s="4"/>
      <c r="B759" s="1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25.5" customHeight="1">
      <c r="A760" s="4"/>
      <c r="B760" s="1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25.5" customHeight="1">
      <c r="A761" s="4"/>
      <c r="B761" s="1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25.5" customHeight="1">
      <c r="A762" s="4"/>
      <c r="B762" s="1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25.5" customHeight="1">
      <c r="A763" s="4"/>
      <c r="B763" s="1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25.5" customHeight="1">
      <c r="A764" s="4"/>
      <c r="B764" s="1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25.5" customHeight="1">
      <c r="A765" s="4"/>
      <c r="B765" s="1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25.5" customHeight="1">
      <c r="A766" s="4"/>
      <c r="B766" s="1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25.5" customHeight="1">
      <c r="A767" s="4"/>
      <c r="B767" s="1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25.5" customHeight="1">
      <c r="A768" s="4"/>
      <c r="B768" s="1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25.5" customHeight="1">
      <c r="A769" s="4"/>
      <c r="B769" s="1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25.5" customHeight="1">
      <c r="A770" s="4"/>
      <c r="B770" s="1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25.5" customHeight="1">
      <c r="A771" s="4"/>
      <c r="B771" s="1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25.5" customHeight="1">
      <c r="A772" s="4"/>
      <c r="B772" s="1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25.5" customHeight="1">
      <c r="A773" s="4"/>
      <c r="B773" s="1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25.5" customHeight="1">
      <c r="A774" s="4"/>
      <c r="B774" s="1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25.5" customHeight="1">
      <c r="A775" s="4"/>
      <c r="B775" s="1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25.5" customHeight="1">
      <c r="A776" s="4"/>
      <c r="B776" s="1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25.5" customHeight="1">
      <c r="A777" s="4"/>
      <c r="B777" s="1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25.5" customHeight="1">
      <c r="A778" s="4"/>
      <c r="B778" s="1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25.5" customHeight="1">
      <c r="A779" s="4"/>
      <c r="B779" s="1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25.5" customHeight="1">
      <c r="A780" s="4"/>
      <c r="B780" s="1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25.5" customHeight="1">
      <c r="A781" s="4"/>
      <c r="B781" s="1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25.5" customHeight="1">
      <c r="A782" s="4"/>
      <c r="B782" s="1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25.5" customHeight="1">
      <c r="A783" s="4"/>
      <c r="B783" s="1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25.5" customHeight="1">
      <c r="A784" s="4"/>
      <c r="B784" s="1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25.5" customHeight="1">
      <c r="A785" s="4"/>
      <c r="B785" s="1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25.5" customHeight="1">
      <c r="A786" s="4"/>
      <c r="B786" s="1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25.5" customHeight="1">
      <c r="A787" s="4"/>
      <c r="B787" s="1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25.5" customHeight="1">
      <c r="A788" s="4"/>
      <c r="B788" s="1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25.5" customHeight="1">
      <c r="A789" s="4"/>
      <c r="B789" s="1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25.5" customHeight="1">
      <c r="A790" s="4"/>
      <c r="B790" s="1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25.5" customHeight="1">
      <c r="A791" s="4"/>
      <c r="B791" s="1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25.5" customHeight="1">
      <c r="A792" s="4"/>
      <c r="B792" s="1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25.5" customHeight="1">
      <c r="A793" s="4"/>
      <c r="B793" s="1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25.5" customHeight="1">
      <c r="A794" s="4"/>
      <c r="B794" s="1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25.5" customHeight="1">
      <c r="A795" s="4"/>
      <c r="B795" s="1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25.5" customHeight="1">
      <c r="A796" s="4"/>
      <c r="B796" s="1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25.5" customHeight="1">
      <c r="A797" s="4"/>
      <c r="B797" s="1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25.5" customHeight="1">
      <c r="A798" s="4"/>
      <c r="B798" s="1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25.5" customHeight="1">
      <c r="A799" s="4"/>
      <c r="B799" s="1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25.5" customHeight="1">
      <c r="A800" s="4"/>
      <c r="B800" s="1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25.5" customHeight="1">
      <c r="A801" s="4"/>
      <c r="B801" s="1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25.5" customHeight="1">
      <c r="A802" s="4"/>
      <c r="B802" s="1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25.5" customHeight="1">
      <c r="A803" s="4"/>
      <c r="B803" s="1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25.5" customHeight="1">
      <c r="A804" s="4"/>
      <c r="B804" s="1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25.5" customHeight="1">
      <c r="A805" s="4"/>
      <c r="B805" s="1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25.5" customHeight="1">
      <c r="A806" s="4"/>
      <c r="B806" s="1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25.5" customHeight="1">
      <c r="A807" s="4"/>
      <c r="B807" s="1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25.5" customHeight="1">
      <c r="A808" s="4"/>
      <c r="B808" s="1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25.5" customHeight="1">
      <c r="A809" s="4"/>
      <c r="B809" s="1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25.5" customHeight="1">
      <c r="A810" s="4"/>
      <c r="B810" s="1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25.5" customHeight="1">
      <c r="A811" s="4"/>
      <c r="B811" s="1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25.5" customHeight="1">
      <c r="A812" s="4"/>
      <c r="B812" s="1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25.5" customHeight="1">
      <c r="A813" s="4"/>
      <c r="B813" s="1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25.5" customHeight="1">
      <c r="A814" s="4"/>
      <c r="B814" s="1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25.5" customHeight="1">
      <c r="A815" s="4"/>
      <c r="B815" s="1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25.5" customHeight="1">
      <c r="A816" s="4"/>
      <c r="B816" s="1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25.5" customHeight="1">
      <c r="A817" s="4"/>
      <c r="B817" s="1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25.5" customHeight="1">
      <c r="A818" s="4"/>
      <c r="B818" s="1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25.5" customHeight="1">
      <c r="A819" s="4"/>
      <c r="B819" s="1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25.5" customHeight="1">
      <c r="A820" s="4"/>
      <c r="B820" s="1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25.5" customHeight="1">
      <c r="A821" s="4"/>
      <c r="B821" s="1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25.5" customHeight="1">
      <c r="A822" s="4"/>
      <c r="B822" s="1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25.5" customHeight="1">
      <c r="A823" s="4"/>
      <c r="B823" s="1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25.5" customHeight="1">
      <c r="A824" s="4"/>
      <c r="B824" s="1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25.5" customHeight="1">
      <c r="A825" s="4"/>
      <c r="B825" s="1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25.5" customHeight="1">
      <c r="A826" s="4"/>
      <c r="B826" s="1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25.5" customHeight="1">
      <c r="A827" s="4"/>
      <c r="B827" s="1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25.5" customHeight="1">
      <c r="A828" s="4"/>
      <c r="B828" s="1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25.5" customHeight="1">
      <c r="A829" s="4"/>
      <c r="B829" s="1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25.5" customHeight="1">
      <c r="A830" s="4"/>
      <c r="B830" s="1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25.5" customHeight="1">
      <c r="A831" s="4"/>
      <c r="B831" s="1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25.5" customHeight="1">
      <c r="A832" s="4"/>
      <c r="B832" s="1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25.5" customHeight="1">
      <c r="A833" s="4"/>
      <c r="B833" s="1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25.5" customHeight="1">
      <c r="A834" s="4"/>
      <c r="B834" s="1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25.5" customHeight="1">
      <c r="A835" s="4"/>
      <c r="B835" s="1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25.5" customHeight="1">
      <c r="A836" s="4"/>
      <c r="B836" s="1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25.5" customHeight="1">
      <c r="A837" s="4"/>
      <c r="B837" s="1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25.5" customHeight="1">
      <c r="A838" s="4"/>
      <c r="B838" s="1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25.5" customHeight="1">
      <c r="A839" s="4"/>
      <c r="B839" s="1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25.5" customHeight="1">
      <c r="A840" s="4"/>
      <c r="B840" s="1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25.5" customHeight="1">
      <c r="A841" s="4"/>
      <c r="B841" s="1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25.5" customHeight="1">
      <c r="A842" s="4"/>
      <c r="B842" s="1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25.5" customHeight="1">
      <c r="A843" s="4"/>
      <c r="B843" s="1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25.5" customHeight="1">
      <c r="A844" s="4"/>
      <c r="B844" s="1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25.5" customHeight="1">
      <c r="A845" s="4"/>
      <c r="B845" s="1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25.5" customHeight="1">
      <c r="A846" s="4"/>
      <c r="B846" s="1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25.5" customHeight="1">
      <c r="A847" s="4"/>
      <c r="B847" s="1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25.5" customHeight="1">
      <c r="A848" s="4"/>
      <c r="B848" s="1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25.5" customHeight="1">
      <c r="A849" s="4"/>
      <c r="B849" s="1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25.5" customHeight="1">
      <c r="A850" s="4"/>
      <c r="B850" s="1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25.5" customHeight="1">
      <c r="A851" s="4"/>
      <c r="B851" s="1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25.5" customHeight="1">
      <c r="A852" s="4"/>
      <c r="B852" s="1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25.5" customHeight="1">
      <c r="A853" s="4"/>
      <c r="B853" s="1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25.5" customHeight="1">
      <c r="A854" s="4"/>
      <c r="B854" s="1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25.5" customHeight="1">
      <c r="A855" s="4"/>
      <c r="B855" s="1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25.5" customHeight="1">
      <c r="A856" s="4"/>
      <c r="B856" s="1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25.5" customHeight="1">
      <c r="A857" s="4"/>
      <c r="B857" s="1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25.5" customHeight="1">
      <c r="A858" s="4"/>
      <c r="B858" s="1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25.5" customHeight="1">
      <c r="A859" s="4"/>
      <c r="B859" s="1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25.5" customHeight="1">
      <c r="A860" s="4"/>
      <c r="B860" s="1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25.5" customHeight="1">
      <c r="A861" s="4"/>
      <c r="B861" s="1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25.5" customHeight="1">
      <c r="A862" s="4"/>
      <c r="B862" s="1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25.5" customHeight="1">
      <c r="A863" s="4"/>
      <c r="B863" s="1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25.5" customHeight="1">
      <c r="A864" s="4"/>
      <c r="B864" s="1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25.5" customHeight="1">
      <c r="A865" s="4"/>
      <c r="B865" s="1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25.5" customHeight="1">
      <c r="A866" s="4"/>
      <c r="B866" s="1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25.5" customHeight="1">
      <c r="A867" s="4"/>
      <c r="B867" s="1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25.5" customHeight="1">
      <c r="A868" s="4"/>
      <c r="B868" s="1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25.5" customHeight="1">
      <c r="A869" s="4"/>
      <c r="B869" s="1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25.5" customHeight="1">
      <c r="A870" s="4"/>
      <c r="B870" s="1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25.5" customHeight="1">
      <c r="A871" s="4"/>
      <c r="B871" s="1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25.5" customHeight="1">
      <c r="A872" s="4"/>
      <c r="B872" s="1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25.5" customHeight="1">
      <c r="A873" s="4"/>
      <c r="B873" s="1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25.5" customHeight="1">
      <c r="A874" s="4"/>
      <c r="B874" s="1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25.5" customHeight="1">
      <c r="A875" s="4"/>
      <c r="B875" s="1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25.5" customHeight="1">
      <c r="A876" s="4"/>
      <c r="B876" s="1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25.5" customHeight="1">
      <c r="A877" s="4"/>
      <c r="B877" s="1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25.5" customHeight="1">
      <c r="A878" s="4"/>
      <c r="B878" s="1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25.5" customHeight="1">
      <c r="A879" s="4"/>
      <c r="B879" s="1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25.5" customHeight="1">
      <c r="A880" s="4"/>
      <c r="B880" s="1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25.5" customHeight="1">
      <c r="A881" s="4"/>
      <c r="B881" s="1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25.5" customHeight="1">
      <c r="A882" s="4"/>
      <c r="B882" s="1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25.5" customHeight="1">
      <c r="A883" s="4"/>
      <c r="B883" s="1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25.5" customHeight="1">
      <c r="A884" s="4"/>
      <c r="B884" s="1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25.5" customHeight="1">
      <c r="A885" s="4"/>
      <c r="B885" s="1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25.5" customHeight="1">
      <c r="A886" s="4"/>
      <c r="B886" s="1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25.5" customHeight="1">
      <c r="A887" s="4"/>
      <c r="B887" s="1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25.5" customHeight="1">
      <c r="A888" s="4"/>
      <c r="B888" s="1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25.5" customHeight="1">
      <c r="A889" s="4"/>
      <c r="B889" s="1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25.5" customHeight="1">
      <c r="A890" s="4"/>
      <c r="B890" s="1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25.5" customHeight="1">
      <c r="A891" s="4"/>
      <c r="B891" s="1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25.5" customHeight="1">
      <c r="A892" s="4"/>
      <c r="B892" s="1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25.5" customHeight="1">
      <c r="A893" s="4"/>
      <c r="B893" s="1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25.5" customHeight="1">
      <c r="A894" s="4"/>
      <c r="B894" s="1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25.5" customHeight="1">
      <c r="A895" s="4"/>
      <c r="B895" s="1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25.5" customHeight="1">
      <c r="A896" s="4"/>
      <c r="B896" s="1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25.5" customHeight="1">
      <c r="A897" s="4"/>
      <c r="B897" s="1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25.5" customHeight="1">
      <c r="A898" s="4"/>
      <c r="B898" s="1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25.5" customHeight="1">
      <c r="A899" s="4"/>
      <c r="B899" s="1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25.5" customHeight="1">
      <c r="A900" s="4"/>
      <c r="B900" s="1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25.5" customHeight="1">
      <c r="A901" s="4"/>
      <c r="B901" s="1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25.5" customHeight="1">
      <c r="A902" s="4"/>
      <c r="B902" s="1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25.5" customHeight="1">
      <c r="A903" s="4"/>
      <c r="B903" s="1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25.5" customHeight="1">
      <c r="A904" s="4"/>
      <c r="B904" s="1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25.5" customHeight="1">
      <c r="A905" s="4"/>
      <c r="B905" s="1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25.5" customHeight="1">
      <c r="A906" s="4"/>
      <c r="B906" s="1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25.5" customHeight="1">
      <c r="A907" s="4"/>
      <c r="B907" s="1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25.5" customHeight="1">
      <c r="A908" s="4"/>
      <c r="B908" s="1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25.5" customHeight="1">
      <c r="A909" s="4"/>
      <c r="B909" s="1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25.5" customHeight="1">
      <c r="A910" s="4"/>
      <c r="B910" s="1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25.5" customHeight="1">
      <c r="A911" s="4"/>
      <c r="B911" s="1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25.5" customHeight="1">
      <c r="A912" s="4"/>
      <c r="B912" s="1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25.5" customHeight="1">
      <c r="A913" s="4"/>
      <c r="B913" s="1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25.5" customHeight="1">
      <c r="A914" s="4"/>
      <c r="B914" s="1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25.5" customHeight="1">
      <c r="A915" s="4"/>
      <c r="B915" s="1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25.5" customHeight="1">
      <c r="A916" s="4"/>
      <c r="B916" s="1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25.5" customHeight="1">
      <c r="A917" s="4"/>
      <c r="B917" s="1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25.5" customHeight="1">
      <c r="A918" s="4"/>
      <c r="B918" s="1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25.5" customHeight="1">
      <c r="A919" s="4"/>
      <c r="B919" s="1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25.5" customHeight="1">
      <c r="A920" s="4"/>
      <c r="B920" s="1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25.5" customHeight="1">
      <c r="A921" s="4"/>
      <c r="B921" s="1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25.5" customHeight="1">
      <c r="A922" s="4"/>
      <c r="B922" s="1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25.5" customHeight="1">
      <c r="A923" s="4"/>
      <c r="B923" s="1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25.5" customHeight="1">
      <c r="A924" s="4"/>
      <c r="B924" s="1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25.5" customHeight="1">
      <c r="A925" s="4"/>
      <c r="B925" s="1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25.5" customHeight="1">
      <c r="A926" s="4"/>
      <c r="B926" s="1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25.5" customHeight="1">
      <c r="A927" s="4"/>
      <c r="B927" s="1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25.5" customHeight="1">
      <c r="A928" s="4"/>
      <c r="B928" s="1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25.5" customHeight="1">
      <c r="A929" s="4"/>
      <c r="B929" s="1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25.5" customHeight="1">
      <c r="A930" s="4"/>
      <c r="B930" s="1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25.5" customHeight="1">
      <c r="A931" s="4"/>
      <c r="B931" s="1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25.5" customHeight="1">
      <c r="A932" s="4"/>
      <c r="B932" s="1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25.5" customHeight="1">
      <c r="A933" s="4"/>
      <c r="B933" s="1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25.5" customHeight="1">
      <c r="A934" s="4"/>
      <c r="B934" s="1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25.5" customHeight="1">
      <c r="A935" s="4"/>
      <c r="B935" s="1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25.5" customHeight="1">
      <c r="A936" s="4"/>
      <c r="B936" s="1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25.5" customHeight="1">
      <c r="A937" s="4"/>
      <c r="B937" s="1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25.5" customHeight="1">
      <c r="A938" s="4"/>
      <c r="B938" s="1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25.5" customHeight="1">
      <c r="A939" s="4"/>
      <c r="B939" s="1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25.5" customHeight="1">
      <c r="A940" s="4"/>
      <c r="B940" s="1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25.5" customHeight="1">
      <c r="A941" s="4"/>
      <c r="B941" s="1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25.5" customHeight="1">
      <c r="A942" s="4"/>
      <c r="B942" s="1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25.5" customHeight="1">
      <c r="A943" s="4"/>
      <c r="B943" s="1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25.5" customHeight="1">
      <c r="A944" s="4"/>
      <c r="B944" s="1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25.5" customHeight="1">
      <c r="A945" s="4"/>
      <c r="B945" s="1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25.5" customHeight="1">
      <c r="A946" s="4"/>
      <c r="B946" s="1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25.5" customHeight="1">
      <c r="A947" s="4"/>
      <c r="B947" s="1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25.5" customHeight="1">
      <c r="A948" s="4"/>
      <c r="B948" s="1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25.5" customHeight="1">
      <c r="A949" s="4"/>
      <c r="B949" s="1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25.5" customHeight="1">
      <c r="A950" s="4"/>
      <c r="B950" s="1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25.5" customHeight="1">
      <c r="A951" s="4"/>
      <c r="B951" s="1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25.5" customHeight="1">
      <c r="A952" s="4"/>
      <c r="B952" s="1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25.5" customHeight="1">
      <c r="A953" s="4"/>
      <c r="B953" s="1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25.5" customHeight="1">
      <c r="A954" s="4"/>
      <c r="B954" s="1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25.5" customHeight="1">
      <c r="A955" s="4"/>
      <c r="B955" s="1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25.5" customHeight="1">
      <c r="A956" s="4"/>
      <c r="B956" s="1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25.5" customHeight="1">
      <c r="A957" s="4"/>
      <c r="B957" s="1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25.5" customHeight="1">
      <c r="A958" s="4"/>
      <c r="B958" s="1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25.5" customHeight="1">
      <c r="A959" s="4"/>
      <c r="B959" s="1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25.5" customHeight="1">
      <c r="A960" s="4"/>
      <c r="B960" s="1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25.5" customHeight="1">
      <c r="A961" s="4"/>
      <c r="B961" s="1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25.5" customHeight="1">
      <c r="A962" s="4"/>
      <c r="B962" s="1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25.5" customHeight="1">
      <c r="A963" s="4"/>
      <c r="B963" s="1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25.5" customHeight="1">
      <c r="A964" s="4"/>
      <c r="B964" s="1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25.5" customHeight="1">
      <c r="A965" s="4"/>
      <c r="B965" s="1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25.5" customHeight="1">
      <c r="A966" s="4"/>
      <c r="B966" s="1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25.5" customHeight="1">
      <c r="A967" s="4"/>
      <c r="B967" s="1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25.5" customHeight="1">
      <c r="A968" s="4"/>
      <c r="B968" s="1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25.5" customHeight="1">
      <c r="A969" s="4"/>
      <c r="B969" s="1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25.5" customHeight="1">
      <c r="A970" s="4"/>
      <c r="B970" s="1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25.5" customHeight="1">
      <c r="A971" s="4"/>
      <c r="B971" s="1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25.5" customHeight="1">
      <c r="A972" s="4"/>
      <c r="B972" s="1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25.5" customHeight="1">
      <c r="A973" s="4"/>
      <c r="B973" s="1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25.5" customHeight="1">
      <c r="A974" s="4"/>
      <c r="B974" s="1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25.5" customHeight="1">
      <c r="A975" s="4"/>
      <c r="B975" s="1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25.5" customHeight="1">
      <c r="A976" s="4"/>
      <c r="B976" s="1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25.5" customHeight="1">
      <c r="A977" s="4"/>
      <c r="B977" s="1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25.5" customHeight="1">
      <c r="A978" s="4"/>
      <c r="B978" s="1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25.5" customHeight="1">
      <c r="A979" s="4"/>
      <c r="B979" s="1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25.5" customHeight="1">
      <c r="A980" s="4"/>
      <c r="B980" s="1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25.5" customHeight="1">
      <c r="A981" s="4"/>
      <c r="B981" s="1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25.5" customHeight="1">
      <c r="A982" s="4"/>
      <c r="B982" s="1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25.5" customHeight="1">
      <c r="A983" s="4"/>
      <c r="B983" s="1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25.5" customHeight="1">
      <c r="A984" s="4"/>
      <c r="B984" s="1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25.5" customHeight="1">
      <c r="A985" s="4"/>
      <c r="B985" s="1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25.5" customHeight="1">
      <c r="A986" s="4"/>
      <c r="B986" s="1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25.5" customHeight="1">
      <c r="A987" s="4"/>
      <c r="B987" s="1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25.5" customHeight="1">
      <c r="A988" s="4"/>
      <c r="B988" s="1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25.5" customHeight="1">
      <c r="A989" s="4"/>
      <c r="B989" s="1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25.5" customHeight="1">
      <c r="A990" s="4"/>
      <c r="B990" s="1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25.5" customHeight="1">
      <c r="A991" s="4"/>
      <c r="B991" s="1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25.5" customHeight="1">
      <c r="A992" s="4"/>
      <c r="B992" s="1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25.5" customHeight="1">
      <c r="A993" s="4"/>
      <c r="B993" s="1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25.5" customHeight="1">
      <c r="A994" s="4"/>
      <c r="B994" s="1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25.5" customHeight="1">
      <c r="A995" s="4"/>
      <c r="B995" s="1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25.5" customHeight="1">
      <c r="A996" s="4"/>
      <c r="B996" s="1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25.5" customHeight="1">
      <c r="A997" s="4"/>
      <c r="B997" s="1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25.5" customHeight="1">
      <c r="A998" s="4"/>
      <c r="B998" s="1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</sheetData>
  <mergeCells count="25">
    <mergeCell ref="A1:K1"/>
    <mergeCell ref="A2:K2"/>
    <mergeCell ref="A3:K3"/>
    <mergeCell ref="A4:K4"/>
    <mergeCell ref="A5:B5"/>
    <mergeCell ref="C5:K5"/>
    <mergeCell ref="C6:K6"/>
    <mergeCell ref="C7:K7"/>
    <mergeCell ref="A6:B6"/>
    <mergeCell ref="A7:B7"/>
    <mergeCell ref="A10:C10"/>
    <mergeCell ref="D10:E10"/>
    <mergeCell ref="G10:H10"/>
    <mergeCell ref="A11:E11"/>
    <mergeCell ref="G11:H11"/>
    <mergeCell ref="A12:C12"/>
    <mergeCell ref="A20:C20"/>
    <mergeCell ref="B24:C24"/>
    <mergeCell ref="J10:K10"/>
    <mergeCell ref="J11:K11"/>
    <mergeCell ref="F13:F20"/>
    <mergeCell ref="I13:I20"/>
    <mergeCell ref="E15:E19"/>
    <mergeCell ref="H15:H19"/>
    <mergeCell ref="K15:K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5.43"/>
    <col customWidth="1" min="3" max="20" width="7.29"/>
    <col customWidth="1" min="21" max="21" width="10.43"/>
    <col customWidth="1" min="22" max="43" width="5.14"/>
    <col customWidth="1" min="44" max="44" width="2.57"/>
    <col customWidth="1" min="45" max="46" width="8.0"/>
  </cols>
  <sheetData>
    <row r="1" ht="34.5" customHeight="1">
      <c r="A1" s="38"/>
      <c r="B1" s="39" t="s">
        <v>23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</row>
    <row r="2" ht="15.75" customHeight="1">
      <c r="B2" s="40" t="s">
        <v>24</v>
      </c>
    </row>
    <row r="3" ht="15.75" customHeight="1"/>
    <row r="4" ht="15.75" customHeight="1">
      <c r="A4" s="41"/>
      <c r="B4" s="42" t="s">
        <v>25</v>
      </c>
      <c r="C4" s="43"/>
      <c r="E4" s="43"/>
      <c r="F4" s="43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ht="27.0" customHeight="1">
      <c r="A5" s="44"/>
      <c r="B5" s="45" t="s">
        <v>26</v>
      </c>
      <c r="C5" s="46" t="s">
        <v>27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</row>
    <row r="6" ht="1.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</row>
    <row r="7" ht="27.75" customHeight="1">
      <c r="A7" s="48" t="s">
        <v>28</v>
      </c>
      <c r="B7" s="3"/>
      <c r="C7" s="49" t="str">
        <f>MConfig!C5</f>
        <v>IS303</v>
      </c>
      <c r="D7" s="2"/>
      <c r="E7" s="2"/>
      <c r="F7" s="2"/>
      <c r="G7" s="2"/>
      <c r="H7" s="2"/>
      <c r="I7" s="2"/>
      <c r="J7" s="2"/>
      <c r="K7" s="3"/>
      <c r="L7" s="50" t="s">
        <v>29</v>
      </c>
      <c r="M7" s="2"/>
      <c r="N7" s="2"/>
      <c r="O7" s="3"/>
      <c r="P7" s="51"/>
      <c r="Q7" s="2"/>
      <c r="R7" s="2"/>
      <c r="S7" s="2"/>
      <c r="T7" s="3"/>
      <c r="U7" s="52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</row>
    <row r="8" ht="30.75" customHeight="1">
      <c r="A8" s="53" t="s">
        <v>30</v>
      </c>
      <c r="B8" s="3"/>
      <c r="C8" s="54" t="str">
        <f>MConfig!C6</f>
        <v>INFO SEC</v>
      </c>
      <c r="D8" s="2"/>
      <c r="E8" s="2"/>
      <c r="F8" s="2"/>
      <c r="G8" s="2"/>
      <c r="H8" s="2"/>
      <c r="I8" s="2"/>
      <c r="J8" s="2"/>
      <c r="K8" s="3"/>
      <c r="L8" s="50" t="s">
        <v>31</v>
      </c>
      <c r="M8" s="2"/>
      <c r="N8" s="2"/>
      <c r="O8" s="3"/>
      <c r="P8" s="55"/>
      <c r="Q8" s="2"/>
      <c r="R8" s="2"/>
      <c r="S8" s="2"/>
      <c r="T8" s="3"/>
      <c r="U8" s="56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</row>
    <row r="9" ht="24.0" customHeight="1">
      <c r="A9" s="58" t="s">
        <v>6</v>
      </c>
      <c r="B9" s="59"/>
      <c r="C9" s="60">
        <f>MConfig!C7</f>
        <v>3</v>
      </c>
      <c r="D9" s="2"/>
      <c r="E9" s="2"/>
      <c r="F9" s="2"/>
      <c r="G9" s="2"/>
      <c r="H9" s="2"/>
      <c r="I9" s="2"/>
      <c r="J9" s="2"/>
      <c r="K9" s="3"/>
      <c r="L9" s="61" t="s">
        <v>32</v>
      </c>
      <c r="M9" s="2"/>
      <c r="N9" s="2"/>
      <c r="O9" s="3"/>
      <c r="P9" s="62"/>
      <c r="Q9" s="8"/>
      <c r="R9" s="8"/>
      <c r="S9" s="8"/>
      <c r="T9" s="9"/>
      <c r="U9" s="52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</row>
    <row r="10" ht="23.25" customHeight="1">
      <c r="A10" s="6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22"/>
    </row>
    <row r="11" ht="23.25" customHeight="1">
      <c r="A11" s="64" t="s">
        <v>33</v>
      </c>
      <c r="B11" s="6"/>
      <c r="C11" s="65" t="s">
        <v>34</v>
      </c>
      <c r="D11" s="2"/>
      <c r="E11" s="2"/>
      <c r="F11" s="2"/>
      <c r="G11" s="2"/>
      <c r="H11" s="2"/>
      <c r="I11" s="2"/>
      <c r="J11" s="2"/>
      <c r="K11" s="3"/>
      <c r="L11" s="66" t="s">
        <v>35</v>
      </c>
      <c r="O11" s="6"/>
      <c r="P11" s="67"/>
      <c r="Q11" s="8"/>
      <c r="R11" s="8"/>
      <c r="S11" s="8"/>
      <c r="T11" s="9"/>
      <c r="U11" s="22"/>
    </row>
    <row r="12" ht="23.25" customHeight="1">
      <c r="A12" s="68"/>
      <c r="B12" s="9"/>
      <c r="C12" s="69" t="s">
        <v>36</v>
      </c>
      <c r="D12" s="8"/>
      <c r="E12" s="8"/>
      <c r="F12" s="8"/>
      <c r="G12" s="8"/>
      <c r="H12" s="8"/>
      <c r="I12" s="8"/>
      <c r="J12" s="8"/>
      <c r="K12" s="9"/>
      <c r="L12" s="8"/>
      <c r="M12" s="8"/>
      <c r="N12" s="8"/>
      <c r="O12" s="9"/>
      <c r="P12" s="70" t="s">
        <v>37</v>
      </c>
      <c r="Q12" s="8"/>
      <c r="R12" s="8"/>
      <c r="S12" s="8"/>
      <c r="T12" s="9"/>
      <c r="U12" s="22"/>
    </row>
    <row r="13" ht="23.25" customHeight="1">
      <c r="A13" s="6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22"/>
    </row>
    <row r="14" ht="23.25" customHeight="1">
      <c r="A14" s="71" t="s">
        <v>38</v>
      </c>
      <c r="B14" s="72"/>
      <c r="C14" s="73" t="s">
        <v>39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22"/>
    </row>
    <row r="15" ht="44.25" customHeight="1">
      <c r="A15" s="68"/>
      <c r="B15" s="9"/>
      <c r="C15" s="74" t="s">
        <v>14</v>
      </c>
      <c r="D15" s="2"/>
      <c r="E15" s="2"/>
      <c r="F15" s="2"/>
      <c r="G15" s="3"/>
      <c r="H15" s="75" t="s">
        <v>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76" t="s">
        <v>41</v>
      </c>
      <c r="U15" s="77" t="s">
        <v>42</v>
      </c>
      <c r="V15" s="78"/>
      <c r="W15" s="78"/>
      <c r="X15" s="79"/>
      <c r="Y15" s="79"/>
      <c r="Z15" s="79"/>
      <c r="AA15" s="79"/>
      <c r="AB15" s="79"/>
      <c r="AC15" s="79"/>
      <c r="AD15" s="79"/>
    </row>
    <row r="16" ht="24.75" customHeight="1">
      <c r="A16" s="80"/>
      <c r="B16" s="81"/>
      <c r="C16" s="82"/>
      <c r="D16" s="2"/>
      <c r="E16" s="2"/>
      <c r="F16" s="2"/>
      <c r="G16" s="3"/>
      <c r="H16" s="83" t="s">
        <v>43</v>
      </c>
      <c r="I16" s="2"/>
      <c r="J16" s="2"/>
      <c r="K16" s="3"/>
      <c r="L16" s="83" t="s">
        <v>44</v>
      </c>
      <c r="M16" s="2"/>
      <c r="N16" s="2"/>
      <c r="O16" s="3"/>
      <c r="P16" s="84" t="s">
        <v>45</v>
      </c>
      <c r="Q16" s="2"/>
      <c r="R16" s="2"/>
      <c r="S16" s="3"/>
      <c r="T16" s="85"/>
      <c r="U16" s="22"/>
    </row>
    <row r="17" ht="24.75" customHeight="1">
      <c r="A17" s="80"/>
      <c r="B17" s="81"/>
      <c r="C17" s="86" t="s">
        <v>46</v>
      </c>
      <c r="D17" s="86" t="s">
        <v>47</v>
      </c>
      <c r="E17" s="86" t="s">
        <v>48</v>
      </c>
      <c r="F17" s="86" t="s">
        <v>49</v>
      </c>
      <c r="G17" s="86" t="s">
        <v>50</v>
      </c>
      <c r="H17" s="87" t="s">
        <v>51</v>
      </c>
      <c r="I17" s="86" t="s">
        <v>52</v>
      </c>
      <c r="J17" s="86" t="s">
        <v>53</v>
      </c>
      <c r="K17" s="86" t="s">
        <v>54</v>
      </c>
      <c r="L17" s="87" t="s">
        <v>55</v>
      </c>
      <c r="M17" s="86" t="s">
        <v>56</v>
      </c>
      <c r="N17" s="86" t="s">
        <v>57</v>
      </c>
      <c r="O17" s="86" t="s">
        <v>58</v>
      </c>
      <c r="P17" s="88" t="s">
        <v>59</v>
      </c>
      <c r="Q17" s="88" t="s">
        <v>60</v>
      </c>
      <c r="R17" s="88" t="s">
        <v>61</v>
      </c>
      <c r="S17" s="88" t="s">
        <v>62</v>
      </c>
      <c r="T17" s="89" t="s">
        <v>63</v>
      </c>
      <c r="U17" s="22"/>
    </row>
    <row r="18" ht="20.25" customHeight="1">
      <c r="A18" s="80"/>
      <c r="B18" s="90"/>
      <c r="C18" s="91" t="s">
        <v>64</v>
      </c>
      <c r="D18" s="91" t="s">
        <v>64</v>
      </c>
      <c r="E18" s="91" t="s">
        <v>64</v>
      </c>
      <c r="F18" s="91" t="s">
        <v>64</v>
      </c>
      <c r="G18" s="91" t="s">
        <v>64</v>
      </c>
      <c r="H18" s="91" t="s">
        <v>64</v>
      </c>
      <c r="I18" s="91" t="s">
        <v>64</v>
      </c>
      <c r="J18" s="91" t="s">
        <v>64</v>
      </c>
      <c r="K18" s="91" t="s">
        <v>64</v>
      </c>
      <c r="L18" s="91" t="s">
        <v>64</v>
      </c>
      <c r="M18" s="91" t="s">
        <v>64</v>
      </c>
      <c r="N18" s="91" t="s">
        <v>64</v>
      </c>
      <c r="O18" s="91" t="s">
        <v>64</v>
      </c>
      <c r="P18" s="91" t="s">
        <v>64</v>
      </c>
      <c r="Q18" s="91" t="s">
        <v>64</v>
      </c>
      <c r="R18" s="91" t="s">
        <v>64</v>
      </c>
      <c r="S18" s="91" t="s">
        <v>64</v>
      </c>
      <c r="T18" s="92" t="s">
        <v>64</v>
      </c>
      <c r="U18" s="19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ht="34.5" customHeight="1">
      <c r="A19" s="80"/>
      <c r="B19" s="90"/>
      <c r="C19" s="93">
        <v>30.0</v>
      </c>
      <c r="D19" s="93">
        <v>60.0</v>
      </c>
      <c r="E19" s="93">
        <v>60.0</v>
      </c>
      <c r="F19" s="93">
        <v>20.0</v>
      </c>
      <c r="G19" s="93">
        <v>50.0</v>
      </c>
      <c r="H19" s="94"/>
      <c r="I19" s="95"/>
      <c r="J19" s="96"/>
      <c r="K19" s="96"/>
      <c r="L19" s="97"/>
      <c r="M19" s="98"/>
      <c r="N19" s="99"/>
      <c r="O19" s="97"/>
      <c r="P19" s="100"/>
      <c r="Q19" s="100"/>
      <c r="R19" s="100"/>
      <c r="S19" s="100"/>
      <c r="T19" s="101">
        <v>100.0</v>
      </c>
      <c r="U19" s="19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ht="34.5" customHeight="1">
      <c r="A20" s="102">
        <v>1.0</v>
      </c>
      <c r="B20" s="103" t="s">
        <v>65</v>
      </c>
      <c r="C20" s="104">
        <v>10.0</v>
      </c>
      <c r="D20" s="105">
        <v>31.0</v>
      </c>
      <c r="E20" s="104">
        <v>28.0</v>
      </c>
      <c r="F20" s="106">
        <v>0.0</v>
      </c>
      <c r="G20" s="104">
        <v>0.0</v>
      </c>
      <c r="H20" s="106">
        <v>80.0</v>
      </c>
      <c r="I20" s="107">
        <v>80.0</v>
      </c>
      <c r="J20" s="106">
        <v>80.0</v>
      </c>
      <c r="K20" s="106"/>
      <c r="L20" s="108">
        <v>75.0</v>
      </c>
      <c r="M20" s="104"/>
      <c r="N20" s="109"/>
      <c r="O20" s="108"/>
      <c r="P20" s="110">
        <v>90.0</v>
      </c>
      <c r="Q20" s="110"/>
      <c r="R20" s="110"/>
      <c r="S20" s="110"/>
      <c r="T20" s="110">
        <v>85.0</v>
      </c>
      <c r="U20" s="19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ht="34.5" customHeight="1">
      <c r="A21" s="102">
        <v>2.0</v>
      </c>
      <c r="B21" s="103" t="s">
        <v>66</v>
      </c>
      <c r="C21" s="104">
        <v>5.0</v>
      </c>
      <c r="D21" s="105">
        <v>20.0</v>
      </c>
      <c r="E21" s="104">
        <v>40.0</v>
      </c>
      <c r="F21" s="106">
        <v>5.0</v>
      </c>
      <c r="G21" s="104">
        <v>25.0</v>
      </c>
      <c r="H21" s="106">
        <v>90.0</v>
      </c>
      <c r="I21" s="107">
        <v>90.0</v>
      </c>
      <c r="J21" s="106">
        <v>50.0</v>
      </c>
      <c r="K21" s="106"/>
      <c r="L21" s="108">
        <v>80.0</v>
      </c>
      <c r="M21" s="104"/>
      <c r="N21" s="109"/>
      <c r="O21" s="108"/>
      <c r="P21" s="110">
        <v>90.0</v>
      </c>
      <c r="Q21" s="110"/>
      <c r="R21" s="110"/>
      <c r="S21" s="110"/>
      <c r="T21" s="110">
        <v>75.0</v>
      </c>
      <c r="U21" s="19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ht="34.5" customHeight="1">
      <c r="A22" s="102">
        <v>3.0</v>
      </c>
      <c r="B22" s="103" t="s">
        <v>67</v>
      </c>
      <c r="C22" s="104"/>
      <c r="D22" s="105"/>
      <c r="E22" s="104"/>
      <c r="F22" s="106"/>
      <c r="G22" s="104"/>
      <c r="H22" s="106"/>
      <c r="I22" s="107"/>
      <c r="J22" s="106"/>
      <c r="K22" s="106"/>
      <c r="L22" s="108"/>
      <c r="M22" s="104"/>
      <c r="N22" s="109"/>
      <c r="O22" s="108"/>
      <c r="P22" s="110"/>
      <c r="Q22" s="110"/>
      <c r="R22" s="110"/>
      <c r="S22" s="110"/>
      <c r="T22" s="110"/>
      <c r="U22" s="19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ht="34.5" customHeight="1">
      <c r="A23" s="102">
        <v>4.0</v>
      </c>
      <c r="B23" s="103"/>
      <c r="C23" s="104"/>
      <c r="D23" s="105"/>
      <c r="E23" s="104"/>
      <c r="F23" s="106"/>
      <c r="G23" s="104"/>
      <c r="H23" s="106"/>
      <c r="I23" s="107"/>
      <c r="J23" s="106"/>
      <c r="K23" s="106"/>
      <c r="L23" s="108"/>
      <c r="M23" s="104"/>
      <c r="N23" s="109"/>
      <c r="O23" s="108"/>
      <c r="P23" s="110"/>
      <c r="Q23" s="110"/>
      <c r="R23" s="110"/>
      <c r="S23" s="110"/>
      <c r="T23" s="110"/>
      <c r="U23" s="19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ht="34.5" customHeight="1">
      <c r="A24" s="102">
        <v>5.0</v>
      </c>
      <c r="B24" s="103"/>
      <c r="C24" s="104"/>
      <c r="D24" s="105"/>
      <c r="E24" s="104"/>
      <c r="F24" s="106"/>
      <c r="G24" s="104"/>
      <c r="H24" s="106"/>
      <c r="I24" s="107"/>
      <c r="J24" s="106"/>
      <c r="K24" s="106"/>
      <c r="L24" s="108"/>
      <c r="M24" s="104"/>
      <c r="N24" s="109"/>
      <c r="O24" s="108"/>
      <c r="P24" s="110"/>
      <c r="Q24" s="110"/>
      <c r="R24" s="110"/>
      <c r="S24" s="110"/>
      <c r="T24" s="110"/>
      <c r="U24" s="19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ht="34.5" customHeight="1">
      <c r="A25" s="102">
        <v>6.0</v>
      </c>
      <c r="B25" s="103"/>
      <c r="C25" s="104"/>
      <c r="D25" s="105"/>
      <c r="E25" s="104"/>
      <c r="F25" s="106"/>
      <c r="G25" s="104"/>
      <c r="H25" s="106"/>
      <c r="I25" s="107"/>
      <c r="J25" s="106"/>
      <c r="K25" s="106"/>
      <c r="L25" s="108"/>
      <c r="M25" s="104"/>
      <c r="N25" s="109"/>
      <c r="O25" s="108"/>
      <c r="P25" s="110"/>
      <c r="Q25" s="110"/>
      <c r="R25" s="110"/>
      <c r="S25" s="110"/>
      <c r="T25" s="110"/>
      <c r="U25" s="22"/>
    </row>
    <row r="26" ht="34.5" customHeight="1">
      <c r="A26" s="102">
        <v>7.0</v>
      </c>
      <c r="B26" s="103"/>
      <c r="C26" s="104"/>
      <c r="D26" s="105"/>
      <c r="E26" s="104"/>
      <c r="F26" s="106"/>
      <c r="G26" s="104"/>
      <c r="H26" s="106"/>
      <c r="I26" s="107"/>
      <c r="J26" s="106"/>
      <c r="K26" s="106"/>
      <c r="L26" s="108"/>
      <c r="M26" s="104"/>
      <c r="N26" s="109"/>
      <c r="O26" s="108"/>
      <c r="P26" s="110"/>
      <c r="Q26" s="110"/>
      <c r="R26" s="110"/>
      <c r="S26" s="110"/>
      <c r="T26" s="110"/>
      <c r="U26" s="22"/>
    </row>
    <row r="27" ht="34.5" customHeight="1">
      <c r="A27" s="102">
        <v>8.0</v>
      </c>
      <c r="B27" s="103"/>
      <c r="C27" s="104"/>
      <c r="D27" s="105"/>
      <c r="E27" s="104"/>
      <c r="F27" s="106"/>
      <c r="G27" s="104"/>
      <c r="H27" s="106"/>
      <c r="I27" s="107"/>
      <c r="J27" s="106"/>
      <c r="K27" s="106"/>
      <c r="L27" s="108"/>
      <c r="M27" s="104"/>
      <c r="N27" s="109"/>
      <c r="O27" s="108"/>
      <c r="P27" s="110"/>
      <c r="Q27" s="110"/>
      <c r="R27" s="110"/>
      <c r="S27" s="110"/>
      <c r="T27" s="110"/>
      <c r="U27" s="111"/>
      <c r="V27" s="112"/>
      <c r="W27" s="112"/>
      <c r="X27" s="112"/>
      <c r="Y27" s="112"/>
      <c r="Z27" s="112"/>
      <c r="AA27" s="112"/>
      <c r="AB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</row>
    <row r="28" ht="34.5" customHeight="1">
      <c r="A28" s="102">
        <v>9.0</v>
      </c>
      <c r="B28" s="103"/>
      <c r="C28" s="104"/>
      <c r="D28" s="105"/>
      <c r="E28" s="104"/>
      <c r="F28" s="106"/>
      <c r="G28" s="104"/>
      <c r="H28" s="106"/>
      <c r="I28" s="107"/>
      <c r="J28" s="106"/>
      <c r="K28" s="106"/>
      <c r="L28" s="108"/>
      <c r="M28" s="104"/>
      <c r="N28" s="109"/>
      <c r="O28" s="108"/>
      <c r="P28" s="110"/>
      <c r="Q28" s="110"/>
      <c r="R28" s="110"/>
      <c r="S28" s="110"/>
      <c r="T28" s="110"/>
      <c r="U28" s="111"/>
      <c r="V28" s="112"/>
      <c r="W28" s="112"/>
      <c r="X28" s="112"/>
      <c r="Y28" s="112"/>
      <c r="Z28" s="112"/>
      <c r="AA28" s="112"/>
      <c r="AB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</row>
    <row r="29" ht="34.5" customHeight="1">
      <c r="A29" s="102">
        <v>10.0</v>
      </c>
      <c r="B29" s="103"/>
      <c r="C29" s="104"/>
      <c r="D29" s="105"/>
      <c r="E29" s="104"/>
      <c r="F29" s="106"/>
      <c r="G29" s="104"/>
      <c r="H29" s="106"/>
      <c r="I29" s="107"/>
      <c r="J29" s="106"/>
      <c r="K29" s="106"/>
      <c r="L29" s="108"/>
      <c r="M29" s="104"/>
      <c r="N29" s="109"/>
      <c r="O29" s="108"/>
      <c r="P29" s="110"/>
      <c r="Q29" s="110"/>
      <c r="R29" s="110"/>
      <c r="S29" s="110"/>
      <c r="T29" s="110"/>
      <c r="U29" s="111"/>
      <c r="V29" s="112"/>
      <c r="W29" s="112"/>
      <c r="X29" s="112"/>
      <c r="Y29" s="112"/>
      <c r="Z29" s="112"/>
      <c r="AA29" s="112"/>
      <c r="AB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</row>
    <row r="30" ht="34.5" customHeight="1">
      <c r="A30" s="102">
        <v>11.0</v>
      </c>
      <c r="B30" s="103"/>
      <c r="C30" s="104"/>
      <c r="D30" s="105"/>
      <c r="E30" s="104"/>
      <c r="F30" s="106"/>
      <c r="G30" s="104"/>
      <c r="H30" s="106"/>
      <c r="I30" s="107"/>
      <c r="J30" s="106"/>
      <c r="K30" s="106"/>
      <c r="L30" s="108"/>
      <c r="M30" s="104"/>
      <c r="N30" s="109"/>
      <c r="O30" s="108"/>
      <c r="P30" s="110"/>
      <c r="Q30" s="110"/>
      <c r="R30" s="110"/>
      <c r="S30" s="110"/>
      <c r="T30" s="110"/>
      <c r="U30" s="111"/>
      <c r="V30" s="112"/>
      <c r="W30" s="112"/>
      <c r="X30" s="112"/>
      <c r="Y30" s="112"/>
      <c r="Z30" s="112"/>
      <c r="AA30" s="112"/>
      <c r="AB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</row>
    <row r="31" ht="34.5" customHeight="1">
      <c r="A31" s="102">
        <v>12.0</v>
      </c>
      <c r="B31" s="103"/>
      <c r="C31" s="104"/>
      <c r="D31" s="105"/>
      <c r="E31" s="104"/>
      <c r="F31" s="106"/>
      <c r="G31" s="104"/>
      <c r="H31" s="106"/>
      <c r="I31" s="107"/>
      <c r="J31" s="106"/>
      <c r="K31" s="106"/>
      <c r="L31" s="108"/>
      <c r="M31" s="104"/>
      <c r="N31" s="109"/>
      <c r="O31" s="108"/>
      <c r="P31" s="110"/>
      <c r="Q31" s="110"/>
      <c r="R31" s="110"/>
      <c r="S31" s="110"/>
      <c r="T31" s="110"/>
      <c r="U31" s="111"/>
      <c r="V31" s="112"/>
      <c r="W31" s="112"/>
      <c r="X31" s="112"/>
      <c r="Y31" s="112"/>
      <c r="Z31" s="112"/>
      <c r="AA31" s="112"/>
      <c r="AB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</row>
    <row r="32" ht="34.5" customHeight="1">
      <c r="A32" s="102">
        <v>13.0</v>
      </c>
      <c r="B32" s="103"/>
      <c r="C32" s="104"/>
      <c r="D32" s="105"/>
      <c r="E32" s="104"/>
      <c r="F32" s="106"/>
      <c r="G32" s="104"/>
      <c r="H32" s="106"/>
      <c r="I32" s="107"/>
      <c r="J32" s="106"/>
      <c r="K32" s="106"/>
      <c r="L32" s="108"/>
      <c r="M32" s="104"/>
      <c r="N32" s="109"/>
      <c r="O32" s="108"/>
      <c r="P32" s="110"/>
      <c r="Q32" s="110"/>
      <c r="R32" s="110"/>
      <c r="S32" s="110"/>
      <c r="T32" s="110"/>
      <c r="U32" s="111"/>
      <c r="V32" s="112"/>
      <c r="W32" s="112"/>
      <c r="X32" s="112"/>
      <c r="Y32" s="112"/>
      <c r="Z32" s="112"/>
      <c r="AA32" s="112"/>
      <c r="AB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</row>
    <row r="33" ht="34.5" customHeight="1">
      <c r="A33" s="102">
        <v>14.0</v>
      </c>
      <c r="B33" s="103"/>
      <c r="C33" s="104"/>
      <c r="D33" s="105"/>
      <c r="E33" s="104"/>
      <c r="F33" s="106"/>
      <c r="G33" s="104"/>
      <c r="H33" s="106"/>
      <c r="I33" s="107"/>
      <c r="J33" s="106"/>
      <c r="K33" s="106"/>
      <c r="L33" s="108"/>
      <c r="M33" s="104"/>
      <c r="N33" s="109"/>
      <c r="O33" s="108"/>
      <c r="P33" s="110"/>
      <c r="Q33" s="110"/>
      <c r="R33" s="110"/>
      <c r="S33" s="110"/>
      <c r="T33" s="110"/>
      <c r="U33" s="111"/>
      <c r="V33" s="112"/>
      <c r="W33" s="112"/>
      <c r="X33" s="112"/>
      <c r="Y33" s="112"/>
      <c r="Z33" s="112"/>
      <c r="AA33" s="112"/>
      <c r="AB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</row>
    <row r="34" ht="34.5" customHeight="1">
      <c r="A34" s="102">
        <v>15.0</v>
      </c>
      <c r="B34" s="103"/>
      <c r="C34" s="104"/>
      <c r="D34" s="105"/>
      <c r="E34" s="104"/>
      <c r="F34" s="106"/>
      <c r="G34" s="104"/>
      <c r="H34" s="106"/>
      <c r="I34" s="107"/>
      <c r="J34" s="106"/>
      <c r="K34" s="106"/>
      <c r="L34" s="108"/>
      <c r="M34" s="104"/>
      <c r="N34" s="109"/>
      <c r="O34" s="108"/>
      <c r="P34" s="110"/>
      <c r="Q34" s="110"/>
      <c r="R34" s="110"/>
      <c r="S34" s="110"/>
      <c r="T34" s="110"/>
      <c r="U34" s="111"/>
      <c r="V34" s="112"/>
      <c r="W34" s="112"/>
      <c r="X34" s="112"/>
      <c r="Y34" s="112"/>
      <c r="Z34" s="112"/>
      <c r="AA34" s="112"/>
      <c r="AB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</row>
    <row r="35" ht="34.5" customHeight="1">
      <c r="A35" s="102">
        <v>16.0</v>
      </c>
      <c r="B35" s="103"/>
      <c r="C35" s="104"/>
      <c r="D35" s="105"/>
      <c r="E35" s="104"/>
      <c r="F35" s="106"/>
      <c r="G35" s="104"/>
      <c r="H35" s="106"/>
      <c r="I35" s="107"/>
      <c r="J35" s="106"/>
      <c r="K35" s="106"/>
      <c r="L35" s="108"/>
      <c r="M35" s="104"/>
      <c r="N35" s="109"/>
      <c r="O35" s="108"/>
      <c r="P35" s="110"/>
      <c r="Q35" s="110"/>
      <c r="R35" s="110"/>
      <c r="S35" s="110"/>
      <c r="T35" s="110"/>
      <c r="U35" s="111"/>
      <c r="V35" s="112"/>
      <c r="W35" s="112"/>
      <c r="X35" s="112"/>
      <c r="Y35" s="112"/>
      <c r="Z35" s="112"/>
      <c r="AA35" s="112"/>
      <c r="AB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</row>
    <row r="36" ht="34.5" customHeight="1">
      <c r="A36" s="102">
        <v>17.0</v>
      </c>
      <c r="B36" s="103"/>
      <c r="C36" s="104"/>
      <c r="D36" s="105"/>
      <c r="E36" s="104"/>
      <c r="F36" s="106"/>
      <c r="G36" s="104"/>
      <c r="H36" s="106"/>
      <c r="I36" s="107"/>
      <c r="J36" s="106"/>
      <c r="K36" s="106"/>
      <c r="L36" s="108"/>
      <c r="M36" s="104"/>
      <c r="N36" s="109"/>
      <c r="O36" s="108"/>
      <c r="P36" s="110"/>
      <c r="Q36" s="110"/>
      <c r="R36" s="110"/>
      <c r="S36" s="110"/>
      <c r="T36" s="110"/>
      <c r="U36" s="111"/>
      <c r="V36" s="112"/>
      <c r="W36" s="112"/>
      <c r="X36" s="112"/>
      <c r="Y36" s="112"/>
      <c r="Z36" s="112"/>
      <c r="AA36" s="112"/>
      <c r="AB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</row>
    <row r="37" ht="34.5" customHeight="1">
      <c r="A37" s="102">
        <v>18.0</v>
      </c>
      <c r="B37" s="103"/>
      <c r="C37" s="104"/>
      <c r="D37" s="105"/>
      <c r="E37" s="104"/>
      <c r="F37" s="106"/>
      <c r="G37" s="104"/>
      <c r="H37" s="106"/>
      <c r="I37" s="107"/>
      <c r="J37" s="106"/>
      <c r="K37" s="106"/>
      <c r="L37" s="108"/>
      <c r="M37" s="104"/>
      <c r="N37" s="109"/>
      <c r="O37" s="108"/>
      <c r="P37" s="110"/>
      <c r="Q37" s="110"/>
      <c r="R37" s="110"/>
      <c r="S37" s="110"/>
      <c r="T37" s="110"/>
      <c r="U37" s="111"/>
      <c r="V37" s="112"/>
      <c r="W37" s="112"/>
      <c r="X37" s="112"/>
      <c r="Y37" s="112"/>
      <c r="Z37" s="112"/>
      <c r="AA37" s="112"/>
      <c r="AB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</row>
    <row r="38" ht="34.5" customHeight="1">
      <c r="A38" s="102">
        <v>19.0</v>
      </c>
      <c r="B38" s="103"/>
      <c r="C38" s="104"/>
      <c r="D38" s="105"/>
      <c r="E38" s="104"/>
      <c r="F38" s="106"/>
      <c r="G38" s="104"/>
      <c r="H38" s="106"/>
      <c r="I38" s="107"/>
      <c r="J38" s="106"/>
      <c r="K38" s="106"/>
      <c r="L38" s="108"/>
      <c r="M38" s="104"/>
      <c r="N38" s="109"/>
      <c r="O38" s="108"/>
      <c r="P38" s="110"/>
      <c r="Q38" s="110"/>
      <c r="R38" s="110"/>
      <c r="S38" s="110"/>
      <c r="T38" s="110"/>
      <c r="U38" s="111"/>
      <c r="V38" s="112"/>
      <c r="W38" s="112"/>
      <c r="X38" s="112"/>
      <c r="Y38" s="112"/>
      <c r="Z38" s="112"/>
      <c r="AA38" s="112"/>
      <c r="AB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</row>
    <row r="39" ht="34.5" customHeight="1">
      <c r="A39" s="102">
        <v>20.0</v>
      </c>
      <c r="B39" s="103"/>
      <c r="C39" s="104"/>
      <c r="D39" s="105"/>
      <c r="E39" s="104"/>
      <c r="F39" s="106"/>
      <c r="G39" s="104"/>
      <c r="H39" s="106"/>
      <c r="I39" s="107"/>
      <c r="J39" s="106"/>
      <c r="K39" s="106"/>
      <c r="L39" s="108"/>
      <c r="M39" s="104"/>
      <c r="N39" s="109"/>
      <c r="O39" s="108"/>
      <c r="P39" s="110"/>
      <c r="Q39" s="110"/>
      <c r="R39" s="110"/>
      <c r="S39" s="110"/>
      <c r="T39" s="110"/>
      <c r="U39" s="111"/>
      <c r="V39" s="112"/>
      <c r="W39" s="112"/>
      <c r="X39" s="112"/>
      <c r="Y39" s="112"/>
      <c r="Z39" s="112"/>
      <c r="AA39" s="112"/>
      <c r="AB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</row>
    <row r="40" ht="34.5" customHeight="1">
      <c r="A40" s="102">
        <v>21.0</v>
      </c>
      <c r="B40" s="103"/>
      <c r="C40" s="104"/>
      <c r="D40" s="105"/>
      <c r="E40" s="104"/>
      <c r="F40" s="106"/>
      <c r="G40" s="104"/>
      <c r="H40" s="106"/>
      <c r="I40" s="107"/>
      <c r="J40" s="106"/>
      <c r="K40" s="106"/>
      <c r="L40" s="108"/>
      <c r="M40" s="104"/>
      <c r="N40" s="109"/>
      <c r="O40" s="108"/>
      <c r="P40" s="110"/>
      <c r="Q40" s="110"/>
      <c r="R40" s="110"/>
      <c r="S40" s="110"/>
      <c r="T40" s="110"/>
      <c r="U40" s="111"/>
      <c r="V40" s="112"/>
      <c r="W40" s="112"/>
      <c r="X40" s="112"/>
      <c r="Y40" s="112"/>
      <c r="Z40" s="112"/>
      <c r="AA40" s="112"/>
      <c r="AB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</row>
    <row r="41" ht="34.5" customHeight="1">
      <c r="A41" s="102">
        <v>22.0</v>
      </c>
      <c r="B41" s="103"/>
      <c r="C41" s="104"/>
      <c r="D41" s="105"/>
      <c r="E41" s="104"/>
      <c r="F41" s="106"/>
      <c r="G41" s="104"/>
      <c r="H41" s="106"/>
      <c r="I41" s="107"/>
      <c r="J41" s="106"/>
      <c r="K41" s="106"/>
      <c r="L41" s="108"/>
      <c r="M41" s="104"/>
      <c r="N41" s="109"/>
      <c r="O41" s="108"/>
      <c r="P41" s="110"/>
      <c r="Q41" s="110"/>
      <c r="R41" s="110"/>
      <c r="S41" s="110"/>
      <c r="T41" s="110"/>
      <c r="U41" s="111"/>
      <c r="V41" s="112"/>
      <c r="W41" s="112"/>
      <c r="X41" s="112"/>
      <c r="Y41" s="112"/>
      <c r="Z41" s="112"/>
      <c r="AA41" s="112"/>
      <c r="AB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</row>
    <row r="42" ht="34.5" customHeight="1">
      <c r="A42" s="102">
        <v>23.0</v>
      </c>
      <c r="B42" s="103"/>
      <c r="C42" s="104"/>
      <c r="D42" s="105"/>
      <c r="E42" s="104"/>
      <c r="F42" s="106"/>
      <c r="G42" s="104"/>
      <c r="H42" s="106"/>
      <c r="I42" s="107"/>
      <c r="J42" s="106"/>
      <c r="K42" s="106"/>
      <c r="L42" s="108"/>
      <c r="M42" s="104"/>
      <c r="N42" s="109"/>
      <c r="O42" s="108"/>
      <c r="P42" s="110"/>
      <c r="Q42" s="110"/>
      <c r="R42" s="110"/>
      <c r="S42" s="110"/>
      <c r="T42" s="110"/>
      <c r="U42" s="111"/>
      <c r="V42" s="112"/>
      <c r="W42" s="112"/>
      <c r="X42" s="112"/>
      <c r="Y42" s="112"/>
      <c r="Z42" s="112"/>
      <c r="AA42" s="112"/>
      <c r="AB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</row>
    <row r="43" ht="34.5" customHeight="1">
      <c r="A43" s="102">
        <v>24.0</v>
      </c>
      <c r="B43" s="103"/>
      <c r="C43" s="104"/>
      <c r="D43" s="105"/>
      <c r="E43" s="104"/>
      <c r="F43" s="106"/>
      <c r="G43" s="104"/>
      <c r="H43" s="106"/>
      <c r="I43" s="107"/>
      <c r="J43" s="106"/>
      <c r="K43" s="106"/>
      <c r="L43" s="108"/>
      <c r="M43" s="104"/>
      <c r="N43" s="109"/>
      <c r="O43" s="108"/>
      <c r="P43" s="110"/>
      <c r="Q43" s="110"/>
      <c r="R43" s="110"/>
      <c r="S43" s="110"/>
      <c r="T43" s="110"/>
      <c r="U43" s="111"/>
      <c r="V43" s="112"/>
      <c r="W43" s="112"/>
      <c r="X43" s="112"/>
      <c r="Y43" s="112"/>
      <c r="Z43" s="112"/>
      <c r="AA43" s="112"/>
      <c r="AB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</row>
    <row r="44" ht="34.5" customHeight="1">
      <c r="A44" s="102">
        <v>25.0</v>
      </c>
      <c r="B44" s="103"/>
      <c r="C44" s="104"/>
      <c r="D44" s="105"/>
      <c r="E44" s="104"/>
      <c r="F44" s="106"/>
      <c r="G44" s="104"/>
      <c r="H44" s="106"/>
      <c r="I44" s="107"/>
      <c r="J44" s="106"/>
      <c r="K44" s="106"/>
      <c r="L44" s="108"/>
      <c r="M44" s="104"/>
      <c r="N44" s="109"/>
      <c r="O44" s="108"/>
      <c r="P44" s="110"/>
      <c r="Q44" s="110"/>
      <c r="R44" s="110"/>
      <c r="S44" s="110"/>
      <c r="T44" s="110"/>
      <c r="U44" s="111"/>
      <c r="V44" s="112"/>
      <c r="W44" s="112"/>
      <c r="X44" s="112"/>
      <c r="Y44" s="112"/>
      <c r="Z44" s="112"/>
      <c r="AA44" s="112"/>
      <c r="AB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</row>
    <row r="45" ht="34.5" customHeight="1">
      <c r="A45" s="102">
        <v>26.0</v>
      </c>
      <c r="B45" s="103"/>
      <c r="C45" s="104"/>
      <c r="D45" s="105"/>
      <c r="E45" s="104"/>
      <c r="F45" s="106"/>
      <c r="G45" s="104"/>
      <c r="H45" s="106"/>
      <c r="I45" s="107"/>
      <c r="J45" s="106"/>
      <c r="K45" s="106"/>
      <c r="L45" s="108"/>
      <c r="M45" s="104"/>
      <c r="N45" s="109"/>
      <c r="O45" s="108"/>
      <c r="P45" s="110"/>
      <c r="Q45" s="110"/>
      <c r="R45" s="110"/>
      <c r="S45" s="110"/>
      <c r="T45" s="110"/>
      <c r="U45" s="111"/>
      <c r="V45" s="112"/>
      <c r="W45" s="112"/>
      <c r="X45" s="112"/>
      <c r="Y45" s="112"/>
      <c r="Z45" s="112"/>
      <c r="AA45" s="112"/>
      <c r="AB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</row>
    <row r="46" ht="34.5" customHeight="1">
      <c r="A46" s="102">
        <v>27.0</v>
      </c>
      <c r="B46" s="103"/>
      <c r="C46" s="104"/>
      <c r="D46" s="105"/>
      <c r="E46" s="104"/>
      <c r="F46" s="106"/>
      <c r="G46" s="104"/>
      <c r="H46" s="106"/>
      <c r="I46" s="107"/>
      <c r="J46" s="106"/>
      <c r="K46" s="106"/>
      <c r="L46" s="108"/>
      <c r="M46" s="104"/>
      <c r="N46" s="109"/>
      <c r="O46" s="108"/>
      <c r="P46" s="110"/>
      <c r="Q46" s="110"/>
      <c r="R46" s="110"/>
      <c r="S46" s="110"/>
      <c r="T46" s="110"/>
      <c r="U46" s="111"/>
      <c r="V46" s="112"/>
      <c r="W46" s="112"/>
      <c r="X46" s="112"/>
      <c r="Y46" s="112"/>
      <c r="Z46" s="112"/>
      <c r="AA46" s="112"/>
      <c r="AB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</row>
    <row r="47" ht="34.5" customHeight="1">
      <c r="A47" s="102">
        <v>28.0</v>
      </c>
      <c r="B47" s="103"/>
      <c r="C47" s="104"/>
      <c r="D47" s="105"/>
      <c r="E47" s="104"/>
      <c r="F47" s="106"/>
      <c r="G47" s="104"/>
      <c r="H47" s="106"/>
      <c r="I47" s="107"/>
      <c r="J47" s="106"/>
      <c r="K47" s="106"/>
      <c r="L47" s="108"/>
      <c r="M47" s="104"/>
      <c r="N47" s="109"/>
      <c r="O47" s="108"/>
      <c r="P47" s="110"/>
      <c r="Q47" s="110"/>
      <c r="R47" s="110"/>
      <c r="S47" s="110"/>
      <c r="T47" s="110"/>
      <c r="U47" s="111"/>
      <c r="V47" s="112"/>
      <c r="W47" s="112"/>
      <c r="X47" s="112"/>
      <c r="Y47" s="112"/>
      <c r="Z47" s="112"/>
      <c r="AA47" s="112"/>
      <c r="AB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</row>
    <row r="48" ht="34.5" customHeight="1">
      <c r="A48" s="102">
        <v>29.0</v>
      </c>
      <c r="B48" s="103"/>
      <c r="C48" s="104"/>
      <c r="D48" s="105"/>
      <c r="E48" s="104"/>
      <c r="F48" s="106"/>
      <c r="G48" s="104"/>
      <c r="H48" s="106"/>
      <c r="I48" s="107"/>
      <c r="J48" s="106"/>
      <c r="K48" s="106"/>
      <c r="L48" s="108"/>
      <c r="M48" s="104"/>
      <c r="N48" s="109"/>
      <c r="O48" s="108"/>
      <c r="P48" s="110"/>
      <c r="Q48" s="110"/>
      <c r="R48" s="110"/>
      <c r="S48" s="110"/>
      <c r="T48" s="110"/>
      <c r="U48" s="111"/>
      <c r="V48" s="112"/>
      <c r="W48" s="112"/>
      <c r="X48" s="112"/>
      <c r="Y48" s="112"/>
      <c r="Z48" s="112"/>
      <c r="AA48" s="112"/>
      <c r="AB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</row>
    <row r="49" ht="34.5" customHeight="1">
      <c r="A49" s="102">
        <v>30.0</v>
      </c>
      <c r="B49" s="103"/>
      <c r="C49" s="104"/>
      <c r="D49" s="105"/>
      <c r="E49" s="104"/>
      <c r="F49" s="106"/>
      <c r="G49" s="104"/>
      <c r="H49" s="106"/>
      <c r="I49" s="107"/>
      <c r="J49" s="106"/>
      <c r="K49" s="106"/>
      <c r="L49" s="108"/>
      <c r="M49" s="104"/>
      <c r="N49" s="109"/>
      <c r="O49" s="108"/>
      <c r="P49" s="110"/>
      <c r="Q49" s="110"/>
      <c r="R49" s="110"/>
      <c r="S49" s="110"/>
      <c r="T49" s="110"/>
      <c r="U49" s="111"/>
      <c r="V49" s="112"/>
      <c r="W49" s="112"/>
      <c r="X49" s="112"/>
      <c r="Y49" s="112"/>
      <c r="Z49" s="112"/>
      <c r="AA49" s="112"/>
      <c r="AB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</row>
    <row r="50" ht="34.5" customHeight="1">
      <c r="A50" s="102">
        <v>31.0</v>
      </c>
      <c r="B50" s="103"/>
      <c r="C50" s="104"/>
      <c r="D50" s="105"/>
      <c r="E50" s="104"/>
      <c r="F50" s="106"/>
      <c r="G50" s="104"/>
      <c r="H50" s="106"/>
      <c r="I50" s="107"/>
      <c r="J50" s="106"/>
      <c r="K50" s="106"/>
      <c r="L50" s="108"/>
      <c r="M50" s="104"/>
      <c r="N50" s="109"/>
      <c r="O50" s="108"/>
      <c r="P50" s="110"/>
      <c r="Q50" s="110"/>
      <c r="R50" s="110"/>
      <c r="S50" s="110"/>
      <c r="T50" s="110"/>
      <c r="U50" s="111"/>
      <c r="V50" s="112"/>
      <c r="W50" s="112"/>
      <c r="X50" s="112"/>
      <c r="Y50" s="112"/>
      <c r="Z50" s="112"/>
      <c r="AA50" s="112"/>
      <c r="AB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</row>
    <row r="51" ht="34.5" customHeight="1">
      <c r="A51" s="102">
        <v>32.0</v>
      </c>
      <c r="B51" s="103"/>
      <c r="C51" s="104"/>
      <c r="D51" s="105"/>
      <c r="E51" s="104"/>
      <c r="F51" s="106"/>
      <c r="G51" s="104"/>
      <c r="H51" s="106"/>
      <c r="I51" s="107"/>
      <c r="J51" s="106"/>
      <c r="K51" s="106"/>
      <c r="L51" s="108"/>
      <c r="M51" s="104"/>
      <c r="N51" s="109"/>
      <c r="O51" s="108"/>
      <c r="P51" s="110"/>
      <c r="Q51" s="110"/>
      <c r="R51" s="110"/>
      <c r="S51" s="110"/>
      <c r="T51" s="110"/>
      <c r="U51" s="111"/>
      <c r="V51" s="112"/>
      <c r="W51" s="112"/>
      <c r="X51" s="112"/>
      <c r="Y51" s="112"/>
      <c r="Z51" s="112"/>
      <c r="AA51" s="112"/>
      <c r="AB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</row>
    <row r="52" ht="34.5" customHeight="1">
      <c r="A52" s="102">
        <v>33.0</v>
      </c>
      <c r="B52" s="103"/>
      <c r="C52" s="104"/>
      <c r="D52" s="105"/>
      <c r="E52" s="104"/>
      <c r="F52" s="106"/>
      <c r="G52" s="104"/>
      <c r="H52" s="106"/>
      <c r="I52" s="107"/>
      <c r="J52" s="106"/>
      <c r="K52" s="106"/>
      <c r="L52" s="108"/>
      <c r="M52" s="104"/>
      <c r="N52" s="109"/>
      <c r="O52" s="108"/>
      <c r="P52" s="110"/>
      <c r="Q52" s="110"/>
      <c r="R52" s="110"/>
      <c r="S52" s="110"/>
      <c r="T52" s="110"/>
      <c r="U52" s="111"/>
      <c r="V52" s="112"/>
      <c r="W52" s="112"/>
      <c r="X52" s="112"/>
      <c r="Y52" s="112"/>
      <c r="Z52" s="112"/>
      <c r="AA52" s="112"/>
      <c r="AB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</row>
    <row r="53" ht="34.5" customHeight="1">
      <c r="A53" s="102">
        <v>34.0</v>
      </c>
      <c r="B53" s="103"/>
      <c r="C53" s="104"/>
      <c r="D53" s="105"/>
      <c r="E53" s="104"/>
      <c r="F53" s="106"/>
      <c r="G53" s="104"/>
      <c r="H53" s="106"/>
      <c r="I53" s="107"/>
      <c r="J53" s="106"/>
      <c r="K53" s="106"/>
      <c r="L53" s="108"/>
      <c r="M53" s="104"/>
      <c r="N53" s="109"/>
      <c r="O53" s="108"/>
      <c r="P53" s="110"/>
      <c r="Q53" s="110"/>
      <c r="R53" s="110"/>
      <c r="S53" s="110"/>
      <c r="T53" s="110"/>
      <c r="U53" s="111"/>
      <c r="V53" s="112"/>
      <c r="W53" s="112"/>
      <c r="X53" s="112"/>
      <c r="Y53" s="112"/>
      <c r="Z53" s="112"/>
      <c r="AA53" s="112"/>
      <c r="AB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</row>
    <row r="54" ht="34.5" customHeight="1">
      <c r="A54" s="102">
        <v>35.0</v>
      </c>
      <c r="B54" s="103"/>
      <c r="C54" s="104"/>
      <c r="D54" s="105"/>
      <c r="E54" s="104"/>
      <c r="F54" s="106"/>
      <c r="G54" s="104"/>
      <c r="H54" s="106"/>
      <c r="I54" s="107"/>
      <c r="J54" s="106"/>
      <c r="K54" s="106"/>
      <c r="L54" s="108"/>
      <c r="M54" s="104"/>
      <c r="N54" s="109"/>
      <c r="O54" s="108"/>
      <c r="P54" s="110"/>
      <c r="Q54" s="110"/>
      <c r="R54" s="110"/>
      <c r="S54" s="110"/>
      <c r="T54" s="110"/>
      <c r="U54" s="111"/>
      <c r="V54" s="112"/>
      <c r="W54" s="112"/>
      <c r="X54" s="112"/>
      <c r="Y54" s="112"/>
      <c r="Z54" s="112"/>
      <c r="AA54" s="112"/>
      <c r="AB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</row>
    <row r="55" ht="34.5" customHeight="1">
      <c r="A55" s="102">
        <v>36.0</v>
      </c>
      <c r="B55" s="103"/>
      <c r="C55" s="104"/>
      <c r="D55" s="105"/>
      <c r="E55" s="104"/>
      <c r="F55" s="106"/>
      <c r="G55" s="104"/>
      <c r="H55" s="106"/>
      <c r="I55" s="107"/>
      <c r="J55" s="106"/>
      <c r="K55" s="106"/>
      <c r="L55" s="108"/>
      <c r="M55" s="104"/>
      <c r="N55" s="109"/>
      <c r="O55" s="108"/>
      <c r="P55" s="110"/>
      <c r="Q55" s="110"/>
      <c r="R55" s="110"/>
      <c r="S55" s="110"/>
      <c r="T55" s="110"/>
      <c r="U55" s="111"/>
      <c r="V55" s="112"/>
      <c r="W55" s="112"/>
      <c r="X55" s="112"/>
      <c r="Y55" s="112"/>
      <c r="Z55" s="112"/>
      <c r="AA55" s="112"/>
      <c r="AB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</row>
    <row r="56" ht="34.5" customHeight="1">
      <c r="A56" s="102">
        <v>37.0</v>
      </c>
      <c r="B56" s="103"/>
      <c r="C56" s="104"/>
      <c r="D56" s="105"/>
      <c r="E56" s="104"/>
      <c r="F56" s="106"/>
      <c r="G56" s="104"/>
      <c r="H56" s="106"/>
      <c r="I56" s="107"/>
      <c r="J56" s="106"/>
      <c r="K56" s="106"/>
      <c r="L56" s="108"/>
      <c r="M56" s="104"/>
      <c r="N56" s="109"/>
      <c r="O56" s="108"/>
      <c r="P56" s="110"/>
      <c r="Q56" s="110"/>
      <c r="R56" s="110"/>
      <c r="S56" s="110"/>
      <c r="T56" s="110"/>
      <c r="U56" s="111"/>
      <c r="V56" s="112"/>
      <c r="W56" s="112"/>
      <c r="X56" s="112"/>
      <c r="Y56" s="112"/>
      <c r="Z56" s="112"/>
      <c r="AA56" s="112"/>
      <c r="AB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</row>
    <row r="57" ht="34.5" customHeight="1">
      <c r="A57" s="102">
        <v>38.0</v>
      </c>
      <c r="B57" s="103"/>
      <c r="C57" s="104"/>
      <c r="D57" s="105"/>
      <c r="E57" s="104"/>
      <c r="F57" s="106"/>
      <c r="G57" s="104"/>
      <c r="H57" s="106"/>
      <c r="I57" s="107"/>
      <c r="J57" s="106"/>
      <c r="K57" s="106"/>
      <c r="L57" s="108"/>
      <c r="M57" s="104"/>
      <c r="N57" s="109"/>
      <c r="O57" s="108"/>
      <c r="P57" s="110"/>
      <c r="Q57" s="110"/>
      <c r="R57" s="110"/>
      <c r="S57" s="110"/>
      <c r="T57" s="110"/>
      <c r="U57" s="111"/>
      <c r="V57" s="112"/>
      <c r="W57" s="112"/>
      <c r="X57" s="112"/>
      <c r="Y57" s="112"/>
      <c r="Z57" s="112"/>
      <c r="AA57" s="112"/>
      <c r="AB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</row>
    <row r="58" ht="34.5" customHeight="1">
      <c r="A58" s="102">
        <v>39.0</v>
      </c>
      <c r="B58" s="103"/>
      <c r="C58" s="104"/>
      <c r="D58" s="105"/>
      <c r="E58" s="104"/>
      <c r="F58" s="106"/>
      <c r="G58" s="104"/>
      <c r="H58" s="106"/>
      <c r="I58" s="107"/>
      <c r="J58" s="106"/>
      <c r="K58" s="106"/>
      <c r="L58" s="108"/>
      <c r="M58" s="104"/>
      <c r="N58" s="109"/>
      <c r="O58" s="108"/>
      <c r="P58" s="110"/>
      <c r="Q58" s="110"/>
      <c r="R58" s="110"/>
      <c r="S58" s="110"/>
      <c r="T58" s="110"/>
      <c r="U58" s="111"/>
      <c r="V58" s="112"/>
      <c r="W58" s="112"/>
      <c r="X58" s="112"/>
      <c r="Y58" s="112"/>
      <c r="Z58" s="112"/>
      <c r="AA58" s="112"/>
      <c r="AB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</row>
    <row r="59" ht="34.5" customHeight="1">
      <c r="A59" s="102">
        <v>40.0</v>
      </c>
      <c r="B59" s="103"/>
      <c r="C59" s="104"/>
      <c r="D59" s="105"/>
      <c r="E59" s="104"/>
      <c r="F59" s="106"/>
      <c r="G59" s="104"/>
      <c r="H59" s="106"/>
      <c r="I59" s="107"/>
      <c r="J59" s="106"/>
      <c r="K59" s="106"/>
      <c r="L59" s="108"/>
      <c r="M59" s="104"/>
      <c r="N59" s="109"/>
      <c r="O59" s="108"/>
      <c r="P59" s="110"/>
      <c r="Q59" s="110"/>
      <c r="R59" s="110"/>
      <c r="S59" s="110"/>
      <c r="T59" s="110"/>
      <c r="U59" s="111"/>
      <c r="V59" s="112"/>
      <c r="W59" s="112"/>
      <c r="X59" s="112"/>
      <c r="Y59" s="112"/>
      <c r="Z59" s="112"/>
      <c r="AA59" s="112"/>
      <c r="AB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</row>
    <row r="60" ht="34.5" customHeight="1">
      <c r="A60" s="102">
        <v>41.0</v>
      </c>
      <c r="B60" s="103"/>
      <c r="C60" s="104"/>
      <c r="D60" s="105"/>
      <c r="E60" s="104"/>
      <c r="F60" s="106"/>
      <c r="G60" s="104"/>
      <c r="H60" s="106"/>
      <c r="I60" s="107"/>
      <c r="J60" s="106"/>
      <c r="K60" s="106"/>
      <c r="L60" s="108"/>
      <c r="M60" s="104"/>
      <c r="N60" s="109"/>
      <c r="O60" s="108"/>
      <c r="P60" s="110"/>
      <c r="Q60" s="110"/>
      <c r="R60" s="110"/>
      <c r="S60" s="110"/>
      <c r="T60" s="110"/>
      <c r="U60" s="111"/>
      <c r="V60" s="112"/>
      <c r="W60" s="112"/>
      <c r="X60" s="112"/>
      <c r="Y60" s="112"/>
      <c r="Z60" s="112"/>
      <c r="AA60" s="112"/>
      <c r="AB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</row>
    <row r="61" ht="34.5" customHeight="1">
      <c r="A61" s="102">
        <v>42.0</v>
      </c>
      <c r="B61" s="103"/>
      <c r="C61" s="104"/>
      <c r="D61" s="105"/>
      <c r="E61" s="104"/>
      <c r="F61" s="106"/>
      <c r="G61" s="104"/>
      <c r="H61" s="106"/>
      <c r="I61" s="107"/>
      <c r="J61" s="106"/>
      <c r="K61" s="106"/>
      <c r="L61" s="108"/>
      <c r="M61" s="104"/>
      <c r="N61" s="109"/>
      <c r="O61" s="108"/>
      <c r="P61" s="110"/>
      <c r="Q61" s="110"/>
      <c r="R61" s="110"/>
      <c r="S61" s="110"/>
      <c r="T61" s="110"/>
      <c r="U61" s="111"/>
      <c r="V61" s="112"/>
      <c r="W61" s="112"/>
      <c r="X61" s="112"/>
      <c r="Y61" s="112"/>
      <c r="Z61" s="112"/>
      <c r="AA61" s="112"/>
      <c r="AB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</row>
    <row r="62" ht="34.5" customHeight="1">
      <c r="A62" s="102">
        <v>43.0</v>
      </c>
      <c r="B62" s="103"/>
      <c r="C62" s="104"/>
      <c r="D62" s="105"/>
      <c r="E62" s="104"/>
      <c r="F62" s="106"/>
      <c r="G62" s="104"/>
      <c r="H62" s="106"/>
      <c r="I62" s="107"/>
      <c r="J62" s="106"/>
      <c r="K62" s="106"/>
      <c r="L62" s="108"/>
      <c r="M62" s="104"/>
      <c r="N62" s="109"/>
      <c r="O62" s="108"/>
      <c r="P62" s="110"/>
      <c r="Q62" s="110"/>
      <c r="R62" s="110"/>
      <c r="S62" s="110"/>
      <c r="T62" s="110"/>
      <c r="U62" s="111"/>
      <c r="V62" s="112"/>
      <c r="W62" s="112"/>
      <c r="X62" s="112"/>
      <c r="Y62" s="112"/>
      <c r="Z62" s="112"/>
      <c r="AA62" s="112"/>
      <c r="AB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</row>
    <row r="63" ht="34.5" customHeight="1">
      <c r="A63" s="102">
        <v>44.0</v>
      </c>
      <c r="B63" s="103"/>
      <c r="C63" s="104"/>
      <c r="D63" s="105"/>
      <c r="E63" s="104"/>
      <c r="F63" s="106"/>
      <c r="G63" s="104"/>
      <c r="H63" s="106"/>
      <c r="I63" s="107"/>
      <c r="J63" s="106"/>
      <c r="K63" s="106"/>
      <c r="L63" s="108"/>
      <c r="M63" s="104"/>
      <c r="N63" s="109"/>
      <c r="O63" s="108"/>
      <c r="P63" s="110"/>
      <c r="Q63" s="110"/>
      <c r="R63" s="110"/>
      <c r="S63" s="110"/>
      <c r="T63" s="110"/>
      <c r="U63" s="111"/>
      <c r="V63" s="112"/>
      <c r="W63" s="112"/>
      <c r="X63" s="112"/>
      <c r="Y63" s="112"/>
      <c r="Z63" s="112"/>
      <c r="AA63" s="112"/>
      <c r="AB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</row>
    <row r="64" ht="34.5" customHeight="1">
      <c r="A64" s="102">
        <v>45.0</v>
      </c>
      <c r="B64" s="103"/>
      <c r="C64" s="104"/>
      <c r="D64" s="105"/>
      <c r="E64" s="104"/>
      <c r="F64" s="106"/>
      <c r="G64" s="104"/>
      <c r="H64" s="106"/>
      <c r="I64" s="107"/>
      <c r="J64" s="106"/>
      <c r="K64" s="106"/>
      <c r="L64" s="108"/>
      <c r="M64" s="104"/>
      <c r="N64" s="109"/>
      <c r="O64" s="108"/>
      <c r="P64" s="110"/>
      <c r="Q64" s="110"/>
      <c r="R64" s="110"/>
      <c r="S64" s="110"/>
      <c r="T64" s="110"/>
      <c r="U64" s="111"/>
      <c r="V64" s="112"/>
      <c r="W64" s="112"/>
      <c r="X64" s="112"/>
      <c r="Y64" s="112"/>
      <c r="Z64" s="112"/>
      <c r="AA64" s="112"/>
      <c r="AB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</row>
    <row r="65" ht="34.5" customHeight="1">
      <c r="A65" s="102">
        <v>46.0</v>
      </c>
      <c r="B65" s="103"/>
      <c r="C65" s="104"/>
      <c r="D65" s="105"/>
      <c r="E65" s="104"/>
      <c r="F65" s="106"/>
      <c r="G65" s="104"/>
      <c r="H65" s="106"/>
      <c r="I65" s="107"/>
      <c r="J65" s="106"/>
      <c r="K65" s="106"/>
      <c r="L65" s="108"/>
      <c r="M65" s="104"/>
      <c r="N65" s="109"/>
      <c r="O65" s="108"/>
      <c r="P65" s="110"/>
      <c r="Q65" s="110"/>
      <c r="R65" s="110"/>
      <c r="S65" s="110"/>
      <c r="T65" s="110"/>
      <c r="U65" s="111"/>
      <c r="V65" s="112"/>
      <c r="W65" s="112"/>
      <c r="X65" s="112"/>
      <c r="Y65" s="112"/>
      <c r="Z65" s="112"/>
      <c r="AA65" s="112"/>
      <c r="AB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</row>
    <row r="66" ht="34.5" customHeight="1">
      <c r="A66" s="102">
        <v>47.0</v>
      </c>
      <c r="B66" s="103"/>
      <c r="C66" s="104"/>
      <c r="D66" s="105"/>
      <c r="E66" s="104"/>
      <c r="F66" s="106"/>
      <c r="G66" s="104"/>
      <c r="H66" s="106"/>
      <c r="I66" s="107"/>
      <c r="J66" s="106"/>
      <c r="K66" s="106"/>
      <c r="L66" s="108"/>
      <c r="M66" s="104"/>
      <c r="N66" s="109"/>
      <c r="O66" s="108"/>
      <c r="P66" s="110"/>
      <c r="Q66" s="110"/>
      <c r="R66" s="110"/>
      <c r="S66" s="110"/>
      <c r="T66" s="110"/>
      <c r="U66" s="111"/>
      <c r="V66" s="112"/>
      <c r="W66" s="112"/>
      <c r="X66" s="112"/>
      <c r="Y66" s="112"/>
      <c r="Z66" s="112"/>
      <c r="AA66" s="112"/>
      <c r="AB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</row>
    <row r="67" ht="34.5" customHeight="1">
      <c r="A67" s="102">
        <v>48.0</v>
      </c>
      <c r="B67" s="103"/>
      <c r="C67" s="104"/>
      <c r="D67" s="105"/>
      <c r="E67" s="104"/>
      <c r="F67" s="106"/>
      <c r="G67" s="104"/>
      <c r="H67" s="106"/>
      <c r="I67" s="107"/>
      <c r="J67" s="106"/>
      <c r="K67" s="106"/>
      <c r="L67" s="108"/>
      <c r="M67" s="104"/>
      <c r="N67" s="109"/>
      <c r="O67" s="108"/>
      <c r="P67" s="110"/>
      <c r="Q67" s="110"/>
      <c r="R67" s="110"/>
      <c r="S67" s="110"/>
      <c r="T67" s="110"/>
      <c r="U67" s="111"/>
      <c r="V67" s="112"/>
      <c r="W67" s="112"/>
      <c r="X67" s="112"/>
      <c r="Y67" s="112"/>
      <c r="Z67" s="112"/>
      <c r="AA67" s="112"/>
      <c r="AB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</row>
    <row r="68" ht="34.5" customHeight="1">
      <c r="A68" s="102">
        <v>49.0</v>
      </c>
      <c r="B68" s="103"/>
      <c r="C68" s="104"/>
      <c r="D68" s="105"/>
      <c r="E68" s="104"/>
      <c r="F68" s="106"/>
      <c r="G68" s="104"/>
      <c r="H68" s="106"/>
      <c r="I68" s="107"/>
      <c r="J68" s="106"/>
      <c r="K68" s="106"/>
      <c r="L68" s="108"/>
      <c r="M68" s="104"/>
      <c r="N68" s="109"/>
      <c r="O68" s="108"/>
      <c r="P68" s="110"/>
      <c r="Q68" s="110"/>
      <c r="R68" s="110"/>
      <c r="S68" s="110"/>
      <c r="T68" s="110"/>
      <c r="U68" s="111"/>
      <c r="V68" s="112"/>
      <c r="W68" s="112"/>
      <c r="X68" s="112"/>
      <c r="Y68" s="112"/>
      <c r="Z68" s="112"/>
      <c r="AA68" s="112"/>
      <c r="AB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</row>
    <row r="69" ht="34.5" customHeight="1">
      <c r="A69" s="102">
        <v>50.0</v>
      </c>
      <c r="B69" s="103"/>
      <c r="C69" s="104"/>
      <c r="D69" s="105"/>
      <c r="E69" s="104"/>
      <c r="F69" s="106"/>
      <c r="G69" s="104"/>
      <c r="H69" s="106"/>
      <c r="I69" s="107"/>
      <c r="J69" s="106"/>
      <c r="K69" s="106"/>
      <c r="L69" s="108"/>
      <c r="M69" s="104"/>
      <c r="N69" s="109"/>
      <c r="O69" s="108"/>
      <c r="P69" s="110"/>
      <c r="Q69" s="110"/>
      <c r="R69" s="110"/>
      <c r="S69" s="110"/>
      <c r="T69" s="110"/>
      <c r="U69" s="111"/>
      <c r="V69" s="112"/>
      <c r="W69" s="112"/>
      <c r="X69" s="112"/>
      <c r="Y69" s="112"/>
      <c r="Z69" s="112"/>
      <c r="AA69" s="112"/>
      <c r="AB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</row>
    <row r="70" ht="34.5" customHeight="1">
      <c r="A70" s="102">
        <v>51.0</v>
      </c>
      <c r="B70" s="103"/>
      <c r="C70" s="104"/>
      <c r="D70" s="105"/>
      <c r="E70" s="104"/>
      <c r="F70" s="106"/>
      <c r="G70" s="104"/>
      <c r="H70" s="106"/>
      <c r="I70" s="107"/>
      <c r="J70" s="106"/>
      <c r="K70" s="106"/>
      <c r="L70" s="108"/>
      <c r="M70" s="104"/>
      <c r="N70" s="109"/>
      <c r="O70" s="108"/>
      <c r="P70" s="110"/>
      <c r="Q70" s="110"/>
      <c r="R70" s="110"/>
      <c r="S70" s="110"/>
      <c r="T70" s="110"/>
      <c r="U70" s="111"/>
      <c r="V70" s="112"/>
      <c r="W70" s="112"/>
      <c r="X70" s="112"/>
      <c r="Y70" s="112"/>
      <c r="Z70" s="112"/>
      <c r="AA70" s="112"/>
      <c r="AB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</row>
    <row r="71" ht="34.5" customHeight="1">
      <c r="A71" s="102">
        <v>52.0</v>
      </c>
      <c r="B71" s="103"/>
      <c r="C71" s="104"/>
      <c r="D71" s="105"/>
      <c r="E71" s="104"/>
      <c r="F71" s="106"/>
      <c r="G71" s="104"/>
      <c r="H71" s="106"/>
      <c r="I71" s="107"/>
      <c r="J71" s="106"/>
      <c r="K71" s="106"/>
      <c r="L71" s="108"/>
      <c r="M71" s="104"/>
      <c r="N71" s="109"/>
      <c r="O71" s="108"/>
      <c r="P71" s="110"/>
      <c r="Q71" s="110"/>
      <c r="R71" s="110"/>
      <c r="S71" s="110"/>
      <c r="T71" s="110"/>
      <c r="U71" s="111"/>
      <c r="V71" s="112"/>
      <c r="W71" s="112"/>
      <c r="X71" s="112"/>
      <c r="Y71" s="112"/>
      <c r="Z71" s="112"/>
      <c r="AA71" s="112"/>
      <c r="AB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</row>
    <row r="72" ht="34.5" customHeight="1">
      <c r="A72" s="102">
        <v>53.0</v>
      </c>
      <c r="B72" s="103"/>
      <c r="C72" s="104"/>
      <c r="D72" s="105"/>
      <c r="E72" s="104"/>
      <c r="F72" s="106"/>
      <c r="G72" s="104"/>
      <c r="H72" s="106"/>
      <c r="I72" s="107"/>
      <c r="J72" s="106"/>
      <c r="K72" s="106"/>
      <c r="L72" s="108"/>
      <c r="M72" s="104"/>
      <c r="N72" s="109"/>
      <c r="O72" s="108"/>
      <c r="P72" s="110"/>
      <c r="Q72" s="110"/>
      <c r="R72" s="110"/>
      <c r="S72" s="110"/>
      <c r="T72" s="110"/>
      <c r="U72" s="111"/>
      <c r="V72" s="112"/>
      <c r="W72" s="112"/>
      <c r="X72" s="112"/>
      <c r="Y72" s="112"/>
      <c r="Z72" s="112"/>
      <c r="AA72" s="112"/>
      <c r="AB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</row>
    <row r="73" ht="34.5" customHeight="1">
      <c r="A73" s="102">
        <v>54.0</v>
      </c>
      <c r="B73" s="103"/>
      <c r="C73" s="104"/>
      <c r="D73" s="105"/>
      <c r="E73" s="104"/>
      <c r="F73" s="106"/>
      <c r="G73" s="104"/>
      <c r="H73" s="106"/>
      <c r="I73" s="107"/>
      <c r="J73" s="106"/>
      <c r="K73" s="106"/>
      <c r="L73" s="108"/>
      <c r="M73" s="104"/>
      <c r="N73" s="109"/>
      <c r="O73" s="108"/>
      <c r="P73" s="110"/>
      <c r="Q73" s="110"/>
      <c r="R73" s="110"/>
      <c r="S73" s="110"/>
      <c r="T73" s="110"/>
      <c r="U73" s="111"/>
      <c r="V73" s="112"/>
      <c r="W73" s="112"/>
      <c r="X73" s="112"/>
      <c r="Y73" s="112"/>
      <c r="Z73" s="112"/>
      <c r="AA73" s="112"/>
      <c r="AB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</row>
    <row r="74" ht="34.5" customHeight="1">
      <c r="A74" s="102">
        <v>55.0</v>
      </c>
      <c r="B74" s="103"/>
      <c r="C74" s="104"/>
      <c r="D74" s="105"/>
      <c r="E74" s="104"/>
      <c r="F74" s="106"/>
      <c r="G74" s="104"/>
      <c r="H74" s="106"/>
      <c r="I74" s="107"/>
      <c r="J74" s="106"/>
      <c r="K74" s="106"/>
      <c r="L74" s="108"/>
      <c r="M74" s="104"/>
      <c r="N74" s="109"/>
      <c r="O74" s="108"/>
      <c r="P74" s="110"/>
      <c r="Q74" s="110"/>
      <c r="R74" s="110"/>
      <c r="S74" s="110"/>
      <c r="T74" s="110"/>
      <c r="U74" s="113"/>
      <c r="V74" s="114"/>
      <c r="W74" s="114"/>
      <c r="X74" s="114"/>
      <c r="Y74" s="114"/>
      <c r="Z74" s="114"/>
      <c r="AA74" s="114"/>
      <c r="AB74" s="114"/>
      <c r="AC74" s="115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5"/>
      <c r="AT74" s="115"/>
    </row>
    <row r="75" ht="15.75" customHeight="1"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</row>
    <row r="76" ht="15.75" customHeight="1"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</row>
    <row r="77" ht="15.75" customHeight="1">
      <c r="A77" s="116"/>
      <c r="B77" s="116"/>
      <c r="C77" s="116"/>
      <c r="D77" s="116"/>
      <c r="E77" s="117"/>
      <c r="F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</row>
    <row r="78" ht="15.75" customHeight="1">
      <c r="A78" s="118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</row>
    <row r="79" ht="15.75" customHeight="1"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</row>
    <row r="80" ht="15.75" customHeight="1"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</row>
    <row r="81" ht="15.75" customHeight="1"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</row>
    <row r="82" ht="15.75" customHeight="1"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</row>
    <row r="83" ht="15.75" customHeight="1"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</row>
    <row r="84" ht="15.75" customHeight="1"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</row>
    <row r="85" ht="15.75" customHeight="1"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</row>
    <row r="86" ht="15.75" customHeight="1"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</row>
    <row r="87" ht="15.75" customHeight="1"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</row>
    <row r="88" ht="15.75" customHeight="1"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</row>
    <row r="89" ht="15.75" customHeight="1"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</row>
    <row r="90" ht="15.75" customHeight="1"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</row>
    <row r="91" ht="15.75" customHeight="1"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</row>
    <row r="92" ht="15.75" customHeight="1"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</row>
    <row r="93" ht="15.75" customHeight="1"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</row>
    <row r="94" ht="15.75" customHeight="1"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</row>
    <row r="95" ht="15.75" customHeight="1"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</row>
    <row r="96" ht="15.75" customHeight="1"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</row>
    <row r="97" ht="15.75" customHeight="1"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</row>
    <row r="98" ht="15.75" customHeight="1"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</row>
    <row r="99" ht="15.75" customHeight="1"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</row>
    <row r="100" ht="15.75" customHeight="1"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</row>
    <row r="101" ht="15.75" customHeight="1"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</row>
    <row r="102" ht="15.75" customHeight="1"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</row>
    <row r="103" ht="15.75" customHeight="1"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</row>
    <row r="104" ht="15.75" customHeight="1"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</row>
    <row r="105" ht="15.75" customHeight="1"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</row>
    <row r="106" ht="15.75" customHeight="1"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</row>
    <row r="107" ht="15.75" customHeight="1"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</row>
    <row r="108" ht="15.75" customHeight="1"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</row>
    <row r="109" ht="15.75" customHeight="1"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</row>
    <row r="110" ht="15.75" customHeight="1"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</row>
    <row r="111" ht="15.75" customHeight="1"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</row>
    <row r="112" ht="15.75" customHeight="1"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</row>
    <row r="113" ht="15.75" customHeight="1"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</row>
    <row r="114" ht="15.75" customHeight="1"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</row>
    <row r="115" ht="15.75" customHeight="1"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</row>
    <row r="116" ht="15.75" customHeight="1"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</row>
    <row r="117" ht="15.75" customHeight="1"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</row>
    <row r="118" ht="15.75" customHeight="1"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</row>
    <row r="119" ht="15.75" customHeight="1"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</row>
    <row r="120" ht="15.75" customHeight="1"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</row>
    <row r="121" ht="15.75" customHeight="1"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</row>
    <row r="122" ht="15.75" customHeight="1"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</row>
    <row r="123" ht="15.75" customHeight="1"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</row>
    <row r="124" ht="15.75" customHeight="1"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</row>
    <row r="125" ht="15.75" customHeight="1"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</row>
    <row r="126" ht="15.75" customHeight="1"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</row>
    <row r="127" ht="15.75" customHeight="1"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</row>
    <row r="128" ht="15.75" customHeight="1"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</row>
    <row r="129" ht="15.75" customHeight="1"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</row>
    <row r="130" ht="15.75" customHeight="1"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</row>
    <row r="131" ht="15.75" customHeight="1"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</row>
    <row r="132" ht="15.75" customHeight="1"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</row>
    <row r="133" ht="15.75" customHeight="1"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</row>
    <row r="134" ht="15.75" customHeight="1"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</row>
    <row r="135" ht="15.75" customHeight="1"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</row>
    <row r="136" ht="15.75" customHeight="1"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</row>
    <row r="137" ht="15.75" customHeight="1"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</row>
    <row r="138" ht="15.75" customHeight="1"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</row>
    <row r="139" ht="15.75" customHeight="1"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</row>
    <row r="140" ht="15.75" customHeight="1"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</row>
    <row r="141" ht="15.75" customHeight="1"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</row>
    <row r="142" ht="15.75" customHeight="1"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</row>
    <row r="143" ht="15.75" customHeight="1"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</row>
    <row r="144" ht="15.75" customHeight="1"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</row>
    <row r="145" ht="15.75" customHeight="1"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</row>
    <row r="146" ht="15.75" customHeight="1"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</row>
    <row r="147" ht="15.75" customHeight="1"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</row>
    <row r="148" ht="15.75" customHeight="1"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</row>
    <row r="149" ht="15.75" customHeight="1"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</row>
    <row r="150" ht="15.75" customHeight="1"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</row>
    <row r="151" ht="15.75" customHeight="1"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</row>
    <row r="152" ht="15.75" customHeight="1"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</row>
    <row r="153" ht="15.75" customHeight="1"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</row>
    <row r="154" ht="15.75" customHeight="1"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</row>
    <row r="155" ht="15.75" customHeight="1"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</row>
    <row r="156" ht="15.75" customHeight="1"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</row>
    <row r="157" ht="15.75" customHeight="1"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</row>
    <row r="158" ht="15.75" customHeight="1"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</row>
    <row r="159" ht="15.75" customHeight="1"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</row>
    <row r="160" ht="15.75" customHeight="1"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</row>
    <row r="161" ht="15.75" customHeight="1"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</row>
    <row r="162" ht="15.75" customHeight="1"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</row>
    <row r="163" ht="15.75" customHeight="1"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</row>
    <row r="164" ht="15.75" customHeight="1"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</row>
    <row r="165" ht="15.75" customHeight="1"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</row>
    <row r="166" ht="15.75" customHeight="1"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</row>
    <row r="167" ht="15.75" customHeight="1"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</row>
    <row r="168" ht="15.75" customHeight="1"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</row>
    <row r="169" ht="15.75" customHeight="1"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</row>
    <row r="170" ht="15.75" customHeight="1"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</row>
    <row r="171" ht="15.75" customHeight="1"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</row>
    <row r="172" ht="15.75" customHeight="1"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</row>
    <row r="173" ht="15.75" customHeight="1"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</row>
    <row r="174" ht="15.75" customHeight="1"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</row>
    <row r="175" ht="15.75" customHeight="1"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</row>
    <row r="176" ht="15.75" customHeight="1"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</row>
    <row r="177" ht="15.75" customHeight="1"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</row>
    <row r="178" ht="15.75" customHeight="1"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</row>
    <row r="179" ht="15.75" customHeight="1"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</row>
    <row r="180" ht="15.75" customHeight="1"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</row>
    <row r="181" ht="15.75" customHeight="1"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</row>
    <row r="182" ht="15.75" customHeight="1"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</row>
    <row r="183" ht="15.75" customHeight="1"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</row>
    <row r="184" ht="15.75" customHeight="1"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</row>
    <row r="185" ht="15.75" customHeight="1"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</row>
    <row r="186" ht="15.75" customHeight="1"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</row>
    <row r="187" ht="15.75" customHeight="1"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</row>
    <row r="188" ht="15.75" customHeight="1"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</row>
    <row r="189" ht="15.75" customHeight="1"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</row>
    <row r="190" ht="15.75" customHeight="1"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</row>
    <row r="191" ht="15.75" customHeight="1"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</row>
    <row r="192" ht="15.75" customHeight="1"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</row>
    <row r="193" ht="15.75" customHeight="1"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</row>
    <row r="194" ht="15.75" customHeight="1"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</row>
    <row r="195" ht="15.75" customHeight="1"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</row>
    <row r="196" ht="15.75" customHeight="1"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</row>
    <row r="197" ht="15.75" customHeight="1"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</row>
    <row r="198" ht="15.75" customHeight="1"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</row>
    <row r="199" ht="15.75" customHeight="1"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</row>
    <row r="200" ht="15.75" customHeight="1"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</row>
    <row r="201" ht="15.75" customHeight="1"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</row>
    <row r="202" ht="15.75" customHeight="1"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</row>
    <row r="203" ht="15.75" customHeight="1"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</row>
    <row r="204" ht="15.75" customHeight="1"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</row>
    <row r="205" ht="15.75" customHeight="1"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</row>
    <row r="206" ht="15.75" customHeight="1"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</row>
    <row r="207" ht="15.75" customHeight="1"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</row>
    <row r="208" ht="15.75" customHeight="1"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</row>
    <row r="209" ht="15.75" customHeight="1"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</row>
    <row r="210" ht="15.75" customHeight="1"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</row>
    <row r="211" ht="15.75" customHeight="1"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</row>
    <row r="212" ht="15.75" customHeight="1"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</row>
    <row r="213" ht="15.75" customHeight="1"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</row>
    <row r="214" ht="15.75" customHeight="1"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</row>
    <row r="215" ht="15.75" customHeight="1"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</row>
    <row r="216" ht="15.75" customHeight="1"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</row>
    <row r="217" ht="15.75" customHeight="1"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</row>
    <row r="218" ht="15.75" customHeight="1"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</row>
    <row r="219" ht="15.75" customHeight="1"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</row>
    <row r="220" ht="15.75" customHeight="1"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</row>
    <row r="221" ht="15.75" customHeight="1"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</row>
    <row r="222" ht="15.75" customHeight="1"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</row>
    <row r="223" ht="15.75" customHeight="1"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</row>
    <row r="224" ht="15.75" customHeight="1"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</row>
    <row r="225" ht="15.75" customHeight="1"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</row>
    <row r="226" ht="15.75" customHeight="1"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</row>
    <row r="227" ht="15.75" customHeight="1"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</row>
    <row r="228" ht="15.75" customHeight="1"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</row>
    <row r="229" ht="15.75" customHeight="1"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</row>
    <row r="230" ht="15.75" customHeight="1"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</row>
    <row r="231" ht="15.75" customHeight="1"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</row>
    <row r="232" ht="15.75" customHeight="1"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</row>
    <row r="233" ht="15.75" customHeight="1"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</row>
    <row r="234" ht="15.75" customHeight="1"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</row>
    <row r="235" ht="15.75" customHeight="1"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</row>
    <row r="236" ht="15.75" customHeight="1"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</row>
    <row r="237" ht="15.75" customHeight="1"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</row>
    <row r="238" ht="15.75" customHeight="1"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</row>
    <row r="239" ht="15.75" customHeight="1"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</row>
    <row r="240" ht="15.75" customHeight="1"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</row>
    <row r="241" ht="15.75" customHeight="1"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</row>
    <row r="242" ht="15.75" customHeight="1"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</row>
    <row r="243" ht="15.75" customHeight="1"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</row>
    <row r="244" ht="15.75" customHeight="1"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</row>
    <row r="245" ht="15.75" customHeight="1"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</row>
    <row r="246" ht="15.75" customHeight="1"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</row>
    <row r="247" ht="15.75" customHeight="1"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</row>
    <row r="248" ht="15.75" customHeight="1"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</row>
    <row r="249" ht="15.75" customHeight="1"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</row>
    <row r="250" ht="15.75" customHeight="1"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</row>
    <row r="251" ht="15.75" customHeight="1"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</row>
    <row r="252" ht="15.75" customHeight="1"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</row>
    <row r="253" ht="15.75" customHeight="1"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</row>
    <row r="254" ht="15.75" customHeight="1"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</row>
    <row r="255" ht="15.75" customHeight="1"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</row>
    <row r="256" ht="15.75" customHeight="1"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</row>
    <row r="257" ht="15.75" customHeight="1"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</row>
    <row r="258" ht="15.75" customHeight="1"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</row>
    <row r="259" ht="15.75" customHeight="1"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</row>
    <row r="260" ht="15.75" customHeight="1"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</row>
    <row r="261" ht="15.75" customHeight="1"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</row>
    <row r="262" ht="15.75" customHeight="1"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</row>
    <row r="263" ht="15.75" customHeight="1"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</row>
    <row r="264" ht="15.75" customHeight="1"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</row>
    <row r="265" ht="15.75" customHeight="1"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</row>
    <row r="266" ht="15.75" customHeight="1"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</row>
    <row r="267" ht="15.75" customHeight="1"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</row>
    <row r="268" ht="15.75" customHeight="1"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</row>
    <row r="269" ht="15.75" customHeight="1"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</row>
    <row r="270" ht="15.75" customHeight="1"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</row>
    <row r="271" ht="15.75" customHeight="1"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</row>
    <row r="272" ht="15.75" customHeight="1"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</row>
    <row r="273" ht="15.75" customHeight="1"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</row>
    <row r="274" ht="15.75" customHeight="1"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</row>
    <row r="275" ht="15.75" customHeight="1"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</row>
    <row r="276" ht="15.75" customHeight="1"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</row>
    <row r="277" ht="15.75" customHeight="1"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</row>
    <row r="278" ht="15.75" customHeight="1"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</row>
    <row r="279" ht="15.75" customHeight="1"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</row>
    <row r="280" ht="15.75" customHeight="1"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</row>
    <row r="281" ht="15.75" customHeight="1"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</row>
    <row r="282" ht="15.75" customHeight="1"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</row>
    <row r="283" ht="15.75" customHeight="1"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</row>
    <row r="284" ht="15.75" customHeight="1"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</row>
    <row r="285" ht="15.75" customHeight="1"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</row>
    <row r="286" ht="15.75" customHeight="1"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</row>
    <row r="287" ht="15.75" customHeight="1"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</row>
    <row r="288" ht="15.75" customHeight="1"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</row>
    <row r="289" ht="15.75" customHeight="1"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</row>
    <row r="290" ht="15.75" customHeight="1"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</row>
    <row r="291" ht="15.75" customHeight="1"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</row>
    <row r="292" ht="15.75" customHeight="1"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</row>
    <row r="293" ht="15.75" customHeight="1"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</row>
    <row r="294" ht="15.75" customHeight="1"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</row>
    <row r="295" ht="15.75" customHeight="1"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</row>
    <row r="296" ht="15.75" customHeight="1"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</row>
    <row r="297" ht="15.75" customHeight="1"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</row>
    <row r="298" ht="15.75" customHeight="1"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</row>
    <row r="299" ht="15.75" customHeight="1"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</row>
    <row r="300" ht="15.75" customHeight="1"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</row>
    <row r="301" ht="15.75" customHeight="1"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</row>
    <row r="302" ht="15.75" customHeight="1"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</row>
    <row r="303" ht="15.75" customHeight="1"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</row>
    <row r="304" ht="15.75" customHeight="1"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</row>
    <row r="305" ht="15.75" customHeight="1"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</row>
    <row r="306" ht="15.75" customHeight="1"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</row>
    <row r="307" ht="15.75" customHeight="1"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</row>
    <row r="308" ht="15.75" customHeight="1"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</row>
    <row r="309" ht="15.75" customHeight="1"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</row>
    <row r="310" ht="15.75" customHeight="1"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</row>
    <row r="311" ht="15.75" customHeight="1"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</row>
    <row r="312" ht="15.75" customHeight="1"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</row>
    <row r="313" ht="15.75" customHeight="1"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</row>
    <row r="314" ht="15.75" customHeight="1"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</row>
    <row r="315" ht="15.75" customHeight="1"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</row>
    <row r="316" ht="15.75" customHeight="1"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</row>
    <row r="317" ht="15.75" customHeight="1"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</row>
    <row r="318" ht="15.75" customHeight="1"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</row>
    <row r="319" ht="15.75" customHeight="1"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</row>
    <row r="320" ht="15.75" customHeight="1"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</row>
    <row r="321" ht="15.75" customHeight="1"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</row>
    <row r="322" ht="15.75" customHeight="1"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</row>
    <row r="323" ht="15.75" customHeight="1"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</row>
    <row r="324" ht="15.75" customHeight="1"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</row>
    <row r="325" ht="15.75" customHeight="1"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</row>
    <row r="326" ht="15.75" customHeight="1"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</row>
    <row r="327" ht="15.75" customHeight="1"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</row>
    <row r="328" ht="15.75" customHeight="1"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</row>
    <row r="329" ht="15.75" customHeight="1"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</row>
    <row r="330" ht="15.75" customHeight="1"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</row>
    <row r="331" ht="15.75" customHeight="1"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</row>
    <row r="332" ht="15.75" customHeight="1"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</row>
    <row r="333" ht="15.75" customHeight="1"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</row>
    <row r="334" ht="15.75" customHeight="1"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</row>
    <row r="335" ht="15.75" customHeight="1"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</row>
    <row r="336" ht="15.75" customHeight="1"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</row>
    <row r="337" ht="15.75" customHeight="1"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</row>
    <row r="338" ht="15.75" customHeight="1"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</row>
    <row r="339" ht="15.75" customHeight="1"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</row>
    <row r="340" ht="15.75" customHeight="1"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</row>
    <row r="341" ht="15.75" customHeight="1"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</row>
    <row r="342" ht="15.75" customHeight="1"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</row>
    <row r="343" ht="15.75" customHeight="1"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</row>
    <row r="344" ht="15.75" customHeight="1"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</row>
    <row r="345" ht="15.75" customHeight="1"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</row>
    <row r="346" ht="15.75" customHeight="1"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</row>
    <row r="347" ht="15.75" customHeight="1"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</row>
    <row r="348" ht="15.75" customHeight="1"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</row>
    <row r="349" ht="15.75" customHeight="1"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</row>
    <row r="350" ht="15.75" customHeight="1"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</row>
    <row r="351" ht="15.75" customHeight="1"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</row>
    <row r="352" ht="15.75" customHeight="1"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</row>
    <row r="353" ht="15.75" customHeight="1"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</row>
    <row r="354" ht="15.75" customHeight="1"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</row>
    <row r="355" ht="15.75" customHeight="1"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</row>
    <row r="356" ht="15.75" customHeight="1"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</row>
    <row r="357" ht="15.75" customHeight="1"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</row>
    <row r="358" ht="15.75" customHeight="1"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</row>
    <row r="359" ht="15.75" customHeight="1"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</row>
    <row r="360" ht="15.75" customHeight="1"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</row>
    <row r="361" ht="15.75" customHeight="1"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</row>
    <row r="362" ht="15.75" customHeight="1"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</row>
    <row r="363" ht="15.75" customHeight="1"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</row>
    <row r="364" ht="15.75" customHeight="1"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</row>
    <row r="365" ht="15.75" customHeight="1"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</row>
    <row r="366" ht="15.75" customHeight="1"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</row>
    <row r="367" ht="15.75" customHeight="1"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</row>
    <row r="368" ht="15.75" customHeight="1"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</row>
    <row r="369" ht="15.75" customHeight="1"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</row>
    <row r="370" ht="15.75" customHeight="1"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</row>
    <row r="371" ht="15.75" customHeight="1"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</row>
    <row r="372" ht="15.75" customHeight="1"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</row>
    <row r="373" ht="15.75" customHeight="1"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</row>
    <row r="374" ht="15.75" customHeight="1"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</row>
    <row r="375" ht="15.75" customHeight="1"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</row>
    <row r="376" ht="15.75" customHeight="1"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</row>
    <row r="377" ht="15.75" customHeight="1"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</row>
    <row r="378" ht="15.75" customHeight="1"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</row>
    <row r="379" ht="15.75" customHeight="1"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</row>
    <row r="380" ht="15.75" customHeight="1"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</row>
    <row r="381" ht="15.75" customHeight="1"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</row>
    <row r="382" ht="15.75" customHeight="1"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</row>
    <row r="383" ht="15.75" customHeight="1"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</row>
    <row r="384" ht="15.75" customHeight="1"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</row>
    <row r="385" ht="15.75" customHeight="1"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</row>
    <row r="386" ht="15.75" customHeight="1"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</row>
    <row r="387" ht="15.75" customHeight="1"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</row>
    <row r="388" ht="15.75" customHeight="1"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</row>
    <row r="389" ht="15.75" customHeight="1"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</row>
    <row r="390" ht="15.75" customHeight="1"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</row>
    <row r="391" ht="15.75" customHeight="1"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</row>
    <row r="392" ht="15.75" customHeight="1"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</row>
    <row r="393" ht="15.75" customHeight="1"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</row>
    <row r="394" ht="15.75" customHeight="1"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</row>
    <row r="395" ht="15.75" customHeight="1"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</row>
    <row r="396" ht="15.75" customHeight="1"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</row>
    <row r="397" ht="15.75" customHeight="1"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</row>
    <row r="398" ht="15.75" customHeight="1"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</row>
    <row r="399" ht="15.75" customHeight="1"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</row>
    <row r="400" ht="15.75" customHeight="1"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</row>
    <row r="401" ht="15.75" customHeight="1"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</row>
    <row r="402" ht="15.75" customHeight="1"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</row>
    <row r="403" ht="15.75" customHeight="1"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</row>
    <row r="404" ht="15.75" customHeight="1"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</row>
    <row r="405" ht="15.75" customHeight="1"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</row>
    <row r="406" ht="15.75" customHeight="1"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</row>
    <row r="407" ht="15.75" customHeight="1"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</row>
    <row r="408" ht="15.75" customHeight="1"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</row>
    <row r="409" ht="15.75" customHeight="1"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</row>
    <row r="410" ht="15.75" customHeight="1"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</row>
    <row r="411" ht="15.75" customHeight="1"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</row>
    <row r="412" ht="15.75" customHeight="1"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</row>
    <row r="413" ht="15.75" customHeight="1"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</row>
    <row r="414" ht="15.75" customHeight="1"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</row>
    <row r="415" ht="15.75" customHeight="1"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</row>
    <row r="416" ht="15.75" customHeight="1"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</row>
    <row r="417" ht="15.75" customHeight="1"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</row>
    <row r="418" ht="15.75" customHeight="1"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</row>
    <row r="419" ht="15.75" customHeight="1"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</row>
    <row r="420" ht="15.75" customHeight="1"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</row>
    <row r="421" ht="15.75" customHeight="1"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</row>
    <row r="422" ht="15.75" customHeight="1"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</row>
    <row r="423" ht="15.75" customHeight="1"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</row>
    <row r="424" ht="15.75" customHeight="1"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</row>
    <row r="425" ht="15.75" customHeight="1"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</row>
    <row r="426" ht="15.75" customHeight="1"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</row>
    <row r="427" ht="15.75" customHeight="1"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</row>
    <row r="428" ht="15.75" customHeight="1"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</row>
    <row r="429" ht="15.75" customHeight="1"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</row>
    <row r="430" ht="15.75" customHeight="1"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</row>
    <row r="431" ht="15.75" customHeight="1"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</row>
    <row r="432" ht="15.75" customHeight="1"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</row>
    <row r="433" ht="15.75" customHeight="1"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</row>
    <row r="434" ht="15.75" customHeight="1"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</row>
    <row r="435" ht="15.75" customHeight="1"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</row>
    <row r="436" ht="15.75" customHeight="1"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</row>
    <row r="437" ht="15.75" customHeight="1"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</row>
    <row r="438" ht="15.75" customHeight="1"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</row>
    <row r="439" ht="15.75" customHeight="1"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</row>
    <row r="440" ht="15.75" customHeight="1"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</row>
    <row r="441" ht="15.75" customHeight="1"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</row>
    <row r="442" ht="15.75" customHeight="1"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</row>
    <row r="443" ht="15.75" customHeight="1"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</row>
    <row r="444" ht="15.75" customHeight="1"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</row>
    <row r="445" ht="15.75" customHeight="1"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</row>
    <row r="446" ht="15.75" customHeight="1"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</row>
    <row r="447" ht="15.75" customHeight="1"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</row>
    <row r="448" ht="15.75" customHeight="1"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</row>
    <row r="449" ht="15.75" customHeight="1"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</row>
    <row r="450" ht="15.75" customHeight="1"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</row>
    <row r="451" ht="15.75" customHeight="1"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</row>
    <row r="452" ht="15.75" customHeight="1"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</row>
    <row r="453" ht="15.75" customHeight="1"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</row>
    <row r="454" ht="15.75" customHeight="1"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</row>
    <row r="455" ht="15.75" customHeight="1"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</row>
    <row r="456" ht="15.75" customHeight="1"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</row>
    <row r="457" ht="15.75" customHeight="1"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</row>
    <row r="458" ht="15.75" customHeight="1"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</row>
    <row r="459" ht="15.75" customHeight="1"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</row>
    <row r="460" ht="15.75" customHeight="1"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</row>
    <row r="461" ht="15.75" customHeight="1"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</row>
    <row r="462" ht="15.75" customHeight="1"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</row>
    <row r="463" ht="15.75" customHeight="1"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</row>
    <row r="464" ht="15.75" customHeight="1"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</row>
    <row r="465" ht="15.75" customHeight="1"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</row>
    <row r="466" ht="15.75" customHeight="1"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</row>
    <row r="467" ht="15.75" customHeight="1"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</row>
    <row r="468" ht="15.75" customHeight="1"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</row>
    <row r="469" ht="15.75" customHeight="1"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</row>
    <row r="470" ht="15.75" customHeight="1"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</row>
    <row r="471" ht="15.75" customHeight="1"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</row>
    <row r="472" ht="15.75" customHeight="1"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</row>
    <row r="473" ht="15.75" customHeight="1"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</row>
    <row r="474" ht="15.75" customHeight="1"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</row>
    <row r="475" ht="15.75" customHeight="1"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</row>
    <row r="476" ht="15.75" customHeight="1"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</row>
    <row r="477" ht="15.75" customHeight="1"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</row>
    <row r="478" ht="15.75" customHeight="1"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</row>
    <row r="479" ht="15.75" customHeight="1"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</row>
    <row r="480" ht="15.75" customHeight="1"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</row>
    <row r="481" ht="15.75" customHeight="1"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</row>
    <row r="482" ht="15.75" customHeight="1"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</row>
    <row r="483" ht="15.75" customHeight="1"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</row>
    <row r="484" ht="15.75" customHeight="1"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</row>
    <row r="485" ht="15.75" customHeight="1"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</row>
    <row r="486" ht="15.75" customHeight="1"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</row>
    <row r="487" ht="15.75" customHeight="1"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</row>
    <row r="488" ht="15.75" customHeight="1"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</row>
    <row r="489" ht="15.75" customHeight="1"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</row>
    <row r="490" ht="15.75" customHeight="1"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</row>
    <row r="491" ht="15.75" customHeight="1"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</row>
    <row r="492" ht="15.75" customHeight="1"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</row>
    <row r="493" ht="15.75" customHeight="1"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</row>
    <row r="494" ht="15.75" customHeight="1"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</row>
    <row r="495" ht="15.75" customHeight="1"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</row>
    <row r="496" ht="15.75" customHeight="1"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</row>
    <row r="497" ht="15.75" customHeight="1"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</row>
    <row r="498" ht="15.75" customHeight="1"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</row>
    <row r="499" ht="15.75" customHeight="1"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</row>
    <row r="500" ht="15.75" customHeight="1"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</row>
    <row r="501" ht="15.75" customHeight="1"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</row>
    <row r="502" ht="15.75" customHeight="1"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</row>
    <row r="503" ht="15.75" customHeight="1"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</row>
    <row r="504" ht="15.75" customHeight="1"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</row>
    <row r="505" ht="15.75" customHeight="1"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</row>
    <row r="506" ht="15.75" customHeight="1"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</row>
    <row r="507" ht="15.75" customHeight="1"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</row>
    <row r="508" ht="15.75" customHeight="1"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</row>
    <row r="509" ht="15.75" customHeight="1"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</row>
    <row r="510" ht="15.75" customHeight="1"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</row>
    <row r="511" ht="15.75" customHeight="1"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</row>
    <row r="512" ht="15.75" customHeight="1"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</row>
    <row r="513" ht="15.75" customHeight="1"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</row>
    <row r="514" ht="15.75" customHeight="1"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</row>
    <row r="515" ht="15.75" customHeight="1"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</row>
    <row r="516" ht="15.75" customHeight="1"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</row>
    <row r="517" ht="15.75" customHeight="1"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</row>
    <row r="518" ht="15.75" customHeight="1"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</row>
    <row r="519" ht="15.75" customHeight="1"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</row>
    <row r="520" ht="15.75" customHeight="1"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</row>
    <row r="521" ht="15.75" customHeight="1"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</row>
    <row r="522" ht="15.75" customHeight="1"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</row>
    <row r="523" ht="15.75" customHeight="1"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</row>
    <row r="524" ht="15.75" customHeight="1"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</row>
    <row r="525" ht="15.75" customHeight="1"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</row>
    <row r="526" ht="15.75" customHeight="1"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</row>
    <row r="527" ht="15.75" customHeight="1"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</row>
    <row r="528" ht="15.75" customHeight="1"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</row>
    <row r="529" ht="15.75" customHeight="1"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</row>
    <row r="530" ht="15.75" customHeight="1"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</row>
    <row r="531" ht="15.75" customHeight="1"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</row>
    <row r="532" ht="15.75" customHeight="1"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</row>
    <row r="533" ht="15.75" customHeight="1"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</row>
    <row r="534" ht="15.75" customHeight="1"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</row>
    <row r="535" ht="15.75" customHeight="1"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</row>
    <row r="536" ht="15.75" customHeight="1"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</row>
    <row r="537" ht="15.75" customHeight="1"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</row>
    <row r="538" ht="15.75" customHeight="1"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</row>
    <row r="539" ht="15.75" customHeight="1"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</row>
    <row r="540" ht="15.75" customHeight="1"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</row>
    <row r="541" ht="15.75" customHeight="1"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</row>
    <row r="542" ht="15.75" customHeight="1"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</row>
    <row r="543" ht="15.75" customHeight="1"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</row>
    <row r="544" ht="15.75" customHeight="1"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</row>
    <row r="545" ht="15.75" customHeight="1"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</row>
    <row r="546" ht="15.75" customHeight="1"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</row>
    <row r="547" ht="15.75" customHeight="1"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</row>
    <row r="548" ht="15.75" customHeight="1"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</row>
    <row r="549" ht="15.75" customHeight="1"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</row>
    <row r="550" ht="15.75" customHeight="1"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</row>
    <row r="551" ht="15.75" customHeight="1"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</row>
    <row r="552" ht="15.75" customHeight="1"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</row>
    <row r="553" ht="15.75" customHeight="1"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</row>
    <row r="554" ht="15.75" customHeight="1"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</row>
    <row r="555" ht="15.75" customHeight="1"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</row>
    <row r="556" ht="15.75" customHeight="1"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</row>
    <row r="557" ht="15.75" customHeight="1"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</row>
    <row r="558" ht="15.75" customHeight="1"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</row>
    <row r="559" ht="15.75" customHeight="1"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</row>
    <row r="560" ht="15.75" customHeight="1"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</row>
    <row r="561" ht="15.75" customHeight="1"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</row>
    <row r="562" ht="15.75" customHeight="1"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</row>
    <row r="563" ht="15.75" customHeight="1"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</row>
    <row r="564" ht="15.75" customHeight="1"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</row>
    <row r="565" ht="15.75" customHeight="1"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</row>
    <row r="566" ht="15.75" customHeight="1"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</row>
    <row r="567" ht="15.75" customHeight="1"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</row>
    <row r="568" ht="15.75" customHeight="1"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</row>
    <row r="569" ht="15.75" customHeight="1"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</row>
    <row r="570" ht="15.75" customHeight="1"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</row>
    <row r="571" ht="15.75" customHeight="1"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</row>
    <row r="572" ht="15.75" customHeight="1"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</row>
    <row r="573" ht="15.75" customHeight="1"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</row>
    <row r="574" ht="15.75" customHeight="1"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</row>
    <row r="575" ht="15.75" customHeight="1"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</row>
    <row r="576" ht="15.75" customHeight="1"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</row>
    <row r="577" ht="15.75" customHeight="1"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</row>
    <row r="578" ht="15.75" customHeight="1"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</row>
    <row r="579" ht="15.75" customHeight="1"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</row>
    <row r="580" ht="15.75" customHeight="1"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</row>
    <row r="581" ht="15.75" customHeight="1"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</row>
    <row r="582" ht="15.75" customHeight="1"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</row>
    <row r="583" ht="15.75" customHeight="1"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</row>
    <row r="584" ht="15.75" customHeight="1"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</row>
    <row r="585" ht="15.75" customHeight="1"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</row>
    <row r="586" ht="15.75" customHeight="1"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</row>
    <row r="587" ht="15.75" customHeight="1"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</row>
    <row r="588" ht="15.75" customHeight="1"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</row>
    <row r="589" ht="15.75" customHeight="1"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</row>
    <row r="590" ht="15.75" customHeight="1"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</row>
    <row r="591" ht="15.75" customHeight="1"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</row>
    <row r="592" ht="15.75" customHeight="1"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</row>
    <row r="593" ht="15.75" customHeight="1"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</row>
    <row r="594" ht="15.75" customHeight="1"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</row>
    <row r="595" ht="15.75" customHeight="1"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</row>
    <row r="596" ht="15.75" customHeight="1"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</row>
    <row r="597" ht="15.75" customHeight="1"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</row>
    <row r="598" ht="15.75" customHeight="1"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</row>
    <row r="599" ht="15.75" customHeight="1"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</row>
    <row r="600" ht="15.75" customHeight="1"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</row>
    <row r="601" ht="15.75" customHeight="1"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</row>
    <row r="602" ht="15.75" customHeight="1"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</row>
    <row r="603" ht="15.75" customHeight="1"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</row>
    <row r="604" ht="15.75" customHeight="1"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</row>
    <row r="605" ht="15.75" customHeight="1"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</row>
    <row r="606" ht="15.75" customHeight="1"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</row>
    <row r="607" ht="15.75" customHeight="1"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</row>
    <row r="608" ht="15.75" customHeight="1"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</row>
    <row r="609" ht="15.75" customHeight="1"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</row>
    <row r="610" ht="15.75" customHeight="1"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</row>
    <row r="611" ht="15.75" customHeight="1"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</row>
    <row r="612" ht="15.75" customHeight="1"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</row>
    <row r="613" ht="15.75" customHeight="1"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</row>
    <row r="614" ht="15.75" customHeight="1"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</row>
    <row r="615" ht="15.75" customHeight="1"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</row>
    <row r="616" ht="15.75" customHeight="1"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</row>
    <row r="617" ht="15.75" customHeight="1"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</row>
    <row r="618" ht="15.75" customHeight="1"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</row>
    <row r="619" ht="15.75" customHeight="1"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</row>
    <row r="620" ht="15.75" customHeight="1"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</row>
    <row r="621" ht="15.75" customHeight="1"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</row>
    <row r="622" ht="15.75" customHeight="1"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</row>
    <row r="623" ht="15.75" customHeight="1"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</row>
    <row r="624" ht="15.75" customHeight="1"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</row>
    <row r="625" ht="15.75" customHeight="1"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</row>
    <row r="626" ht="15.75" customHeight="1"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</row>
    <row r="627" ht="15.75" customHeight="1"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</row>
    <row r="628" ht="15.75" customHeight="1"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</row>
    <row r="629" ht="15.75" customHeight="1"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</row>
    <row r="630" ht="15.75" customHeight="1"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</row>
    <row r="631" ht="15.75" customHeight="1"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</row>
    <row r="632" ht="15.75" customHeight="1"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</row>
    <row r="633" ht="15.75" customHeight="1"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</row>
    <row r="634" ht="15.75" customHeight="1"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</row>
    <row r="635" ht="15.75" customHeight="1"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</row>
    <row r="636" ht="15.75" customHeight="1"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</row>
    <row r="637" ht="15.75" customHeight="1"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</row>
    <row r="638" ht="15.75" customHeight="1"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</row>
    <row r="639" ht="15.75" customHeight="1"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</row>
    <row r="640" ht="15.75" customHeight="1"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</row>
    <row r="641" ht="15.75" customHeight="1"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</row>
    <row r="642" ht="15.75" customHeight="1"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</row>
    <row r="643" ht="15.75" customHeight="1"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</row>
    <row r="644" ht="15.75" customHeight="1"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</row>
    <row r="645" ht="15.75" customHeight="1"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</row>
    <row r="646" ht="15.75" customHeight="1"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</row>
    <row r="647" ht="15.75" customHeight="1"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</row>
    <row r="648" ht="15.75" customHeight="1"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</row>
    <row r="649" ht="15.75" customHeight="1"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</row>
    <row r="650" ht="15.75" customHeight="1"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</row>
    <row r="651" ht="15.75" customHeight="1"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</row>
    <row r="652" ht="15.75" customHeight="1"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</row>
    <row r="653" ht="15.75" customHeight="1"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</row>
    <row r="654" ht="15.75" customHeight="1"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</row>
    <row r="655" ht="15.75" customHeight="1"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</row>
    <row r="656" ht="15.75" customHeight="1"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</row>
    <row r="657" ht="15.75" customHeight="1"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</row>
    <row r="658" ht="15.75" customHeight="1"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</row>
    <row r="659" ht="15.75" customHeight="1"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</row>
    <row r="660" ht="15.75" customHeight="1"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</row>
    <row r="661" ht="15.75" customHeight="1"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</row>
    <row r="662" ht="15.75" customHeight="1"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</row>
    <row r="663" ht="15.75" customHeight="1"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</row>
    <row r="664" ht="15.75" customHeight="1"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</row>
    <row r="665" ht="15.75" customHeight="1"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</row>
    <row r="666" ht="15.75" customHeight="1"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</row>
    <row r="667" ht="15.75" customHeight="1"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</row>
    <row r="668" ht="15.75" customHeight="1"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</row>
    <row r="669" ht="15.75" customHeight="1"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</row>
    <row r="670" ht="15.75" customHeight="1"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</row>
    <row r="671" ht="15.75" customHeight="1"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</row>
    <row r="672" ht="15.75" customHeight="1"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</row>
    <row r="673" ht="15.75" customHeight="1"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</row>
    <row r="674" ht="15.75" customHeight="1"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</row>
    <row r="675" ht="15.75" customHeight="1"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</row>
    <row r="676" ht="15.75" customHeight="1"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</row>
    <row r="677" ht="15.75" customHeight="1"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</row>
    <row r="678" ht="15.75" customHeight="1"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</row>
    <row r="679" ht="15.75" customHeight="1"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</row>
    <row r="680" ht="15.75" customHeight="1"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</row>
    <row r="681" ht="15.75" customHeight="1"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</row>
    <row r="682" ht="15.75" customHeight="1"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</row>
    <row r="683" ht="15.75" customHeight="1"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</row>
    <row r="684" ht="15.75" customHeight="1"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</row>
    <row r="685" ht="15.75" customHeight="1"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</row>
    <row r="686" ht="15.75" customHeight="1"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</row>
    <row r="687" ht="15.75" customHeight="1"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</row>
    <row r="688" ht="15.75" customHeight="1"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</row>
    <row r="689" ht="15.75" customHeight="1"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</row>
    <row r="690" ht="15.75" customHeight="1"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</row>
    <row r="691" ht="15.75" customHeight="1"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</row>
    <row r="692" ht="15.75" customHeight="1"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</row>
    <row r="693" ht="15.75" customHeight="1"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</row>
    <row r="694" ht="15.75" customHeight="1"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</row>
    <row r="695" ht="15.75" customHeight="1"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</row>
    <row r="696" ht="15.75" customHeight="1"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</row>
    <row r="697" ht="15.75" customHeight="1"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</row>
    <row r="698" ht="15.75" customHeight="1"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</row>
    <row r="699" ht="15.75" customHeight="1"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</row>
    <row r="700" ht="15.75" customHeight="1"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</row>
    <row r="701" ht="15.75" customHeight="1"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</row>
    <row r="702" ht="15.75" customHeight="1"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</row>
    <row r="703" ht="15.75" customHeight="1"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</row>
    <row r="704" ht="15.75" customHeight="1"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</row>
    <row r="705" ht="15.75" customHeight="1"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</row>
    <row r="706" ht="15.75" customHeight="1"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</row>
    <row r="707" ht="15.75" customHeight="1"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</row>
    <row r="708" ht="15.75" customHeight="1"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</row>
    <row r="709" ht="15.75" customHeight="1"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</row>
    <row r="710" ht="15.75" customHeight="1"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</row>
    <row r="711" ht="15.75" customHeight="1"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</row>
    <row r="712" ht="15.75" customHeight="1"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</row>
    <row r="713" ht="15.75" customHeight="1"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</row>
    <row r="714" ht="15.75" customHeight="1"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</row>
    <row r="715" ht="15.75" customHeight="1"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</row>
    <row r="716" ht="15.75" customHeight="1"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</row>
    <row r="717" ht="15.75" customHeight="1"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</row>
    <row r="718" ht="15.75" customHeight="1"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</row>
    <row r="719" ht="15.75" customHeight="1"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</row>
    <row r="720" ht="15.75" customHeight="1"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</row>
    <row r="721" ht="15.75" customHeight="1"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</row>
    <row r="722" ht="15.75" customHeight="1"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</row>
    <row r="723" ht="15.75" customHeight="1"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</row>
    <row r="724" ht="15.75" customHeight="1"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</row>
    <row r="725" ht="15.75" customHeight="1"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</row>
    <row r="726" ht="15.75" customHeight="1"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</row>
    <row r="727" ht="15.75" customHeight="1"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</row>
    <row r="728" ht="15.75" customHeight="1"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</row>
    <row r="729" ht="15.75" customHeight="1"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</row>
    <row r="730" ht="15.75" customHeight="1"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</row>
    <row r="731" ht="15.75" customHeight="1"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</row>
    <row r="732" ht="15.75" customHeight="1"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</row>
    <row r="733" ht="15.75" customHeight="1"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</row>
    <row r="734" ht="15.75" customHeight="1"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</row>
    <row r="735" ht="15.75" customHeight="1"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</row>
    <row r="736" ht="15.75" customHeight="1"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</row>
    <row r="737" ht="15.75" customHeight="1"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</row>
    <row r="738" ht="15.75" customHeight="1"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</row>
    <row r="739" ht="15.75" customHeight="1"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</row>
    <row r="740" ht="15.75" customHeight="1"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</row>
    <row r="741" ht="15.75" customHeight="1"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</row>
    <row r="742" ht="15.75" customHeight="1"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</row>
    <row r="743" ht="15.75" customHeight="1"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</row>
    <row r="744" ht="15.75" customHeight="1"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</row>
    <row r="745" ht="15.75" customHeight="1"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</row>
    <row r="746" ht="15.75" customHeight="1"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</row>
    <row r="747" ht="15.75" customHeight="1"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</row>
    <row r="748" ht="15.75" customHeight="1"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</row>
    <row r="749" ht="15.75" customHeight="1"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</row>
    <row r="750" ht="15.75" customHeight="1"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</row>
    <row r="751" ht="15.75" customHeight="1"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</row>
    <row r="752" ht="15.75" customHeight="1"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</row>
    <row r="753" ht="15.75" customHeight="1"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</row>
    <row r="754" ht="15.75" customHeight="1"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</row>
    <row r="755" ht="15.75" customHeight="1"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</row>
    <row r="756" ht="15.75" customHeight="1"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</row>
    <row r="757" ht="15.75" customHeight="1"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</row>
    <row r="758" ht="15.75" customHeight="1"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</row>
    <row r="759" ht="15.75" customHeight="1"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</row>
    <row r="760" ht="15.75" customHeight="1"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</row>
    <row r="761" ht="15.75" customHeight="1"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</row>
    <row r="762" ht="15.75" customHeight="1"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</row>
    <row r="763" ht="15.75" customHeight="1"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</row>
    <row r="764" ht="15.75" customHeight="1"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</row>
    <row r="765" ht="15.75" customHeight="1"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</row>
    <row r="766" ht="15.75" customHeight="1"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</row>
    <row r="767" ht="15.75" customHeight="1"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</row>
    <row r="768" ht="15.75" customHeight="1"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</row>
    <row r="769" ht="15.75" customHeight="1"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</row>
    <row r="770" ht="15.75" customHeight="1"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</row>
    <row r="771" ht="15.75" customHeight="1"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</row>
    <row r="772" ht="15.75" customHeight="1"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</row>
    <row r="773" ht="15.75" customHeight="1"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</row>
    <row r="774" ht="15.75" customHeight="1"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</row>
    <row r="775" ht="15.75" customHeight="1"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</row>
    <row r="776" ht="15.75" customHeight="1"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</row>
    <row r="777" ht="15.75" customHeight="1"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</row>
    <row r="778" ht="15.75" customHeight="1"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</row>
    <row r="779" ht="15.75" customHeight="1"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</row>
    <row r="780" ht="15.75" customHeight="1"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</row>
    <row r="781" ht="15.75" customHeight="1"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</row>
    <row r="782" ht="15.75" customHeight="1"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</row>
    <row r="783" ht="15.75" customHeight="1"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</row>
    <row r="784" ht="15.75" customHeight="1"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</row>
    <row r="785" ht="15.75" customHeight="1"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</row>
    <row r="786" ht="15.75" customHeight="1"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</row>
    <row r="787" ht="15.75" customHeight="1"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</row>
    <row r="788" ht="15.75" customHeight="1"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</row>
    <row r="789" ht="15.75" customHeight="1"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</row>
    <row r="790" ht="15.75" customHeight="1"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</row>
    <row r="791" ht="15.75" customHeight="1"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</row>
    <row r="792" ht="15.75" customHeight="1"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</row>
    <row r="793" ht="15.75" customHeight="1"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</row>
    <row r="794" ht="15.75" customHeight="1"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</row>
    <row r="795" ht="15.75" customHeight="1"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</row>
    <row r="796" ht="15.75" customHeight="1"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</row>
    <row r="797" ht="15.75" customHeight="1"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</row>
    <row r="798" ht="15.75" customHeight="1"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</row>
    <row r="799" ht="15.75" customHeight="1"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</row>
    <row r="800" ht="15.75" customHeight="1"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</row>
    <row r="801" ht="15.75" customHeight="1"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</row>
    <row r="802" ht="15.75" customHeight="1"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</row>
    <row r="803" ht="15.75" customHeight="1"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</row>
    <row r="804" ht="15.75" customHeight="1"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</row>
    <row r="805" ht="15.75" customHeight="1"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</row>
    <row r="806" ht="15.75" customHeight="1"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</row>
    <row r="807" ht="15.75" customHeight="1"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</row>
    <row r="808" ht="15.75" customHeight="1"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</row>
    <row r="809" ht="15.75" customHeight="1"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</row>
    <row r="810" ht="15.75" customHeight="1"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</row>
    <row r="811" ht="15.75" customHeight="1"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</row>
    <row r="812" ht="15.75" customHeight="1"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</row>
    <row r="813" ht="15.75" customHeight="1"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</row>
    <row r="814" ht="15.75" customHeight="1"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</row>
    <row r="815" ht="15.75" customHeight="1"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</row>
    <row r="816" ht="15.75" customHeight="1"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</row>
    <row r="817" ht="15.75" customHeight="1"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</row>
    <row r="818" ht="15.75" customHeight="1"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</row>
    <row r="819" ht="15.75" customHeight="1"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</row>
    <row r="820" ht="15.75" customHeight="1"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</row>
    <row r="821" ht="15.75" customHeight="1"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</row>
    <row r="822" ht="15.75" customHeight="1"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</row>
    <row r="823" ht="15.75" customHeight="1"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</row>
    <row r="824" ht="15.75" customHeight="1"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</row>
    <row r="825" ht="15.75" customHeight="1"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</row>
    <row r="826" ht="15.75" customHeight="1"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</row>
    <row r="827" ht="15.75" customHeight="1"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</row>
    <row r="828" ht="15.75" customHeight="1"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</row>
    <row r="829" ht="15.75" customHeight="1"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</row>
    <row r="830" ht="15.75" customHeight="1"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</row>
    <row r="831" ht="15.75" customHeight="1"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</row>
    <row r="832" ht="15.75" customHeight="1"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</row>
    <row r="833" ht="15.75" customHeight="1"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</row>
    <row r="834" ht="15.75" customHeight="1"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</row>
    <row r="835" ht="15.75" customHeight="1"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</row>
    <row r="836" ht="15.75" customHeight="1"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</row>
    <row r="837" ht="15.75" customHeight="1"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</row>
    <row r="838" ht="15.75" customHeight="1"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</row>
    <row r="839" ht="15.75" customHeight="1"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</row>
    <row r="840" ht="15.75" customHeight="1"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</row>
    <row r="841" ht="15.75" customHeight="1"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</row>
    <row r="842" ht="15.75" customHeight="1"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</row>
    <row r="843" ht="15.75" customHeight="1"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</row>
    <row r="844" ht="15.75" customHeight="1"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</row>
    <row r="845" ht="15.75" customHeight="1"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</row>
    <row r="846" ht="15.75" customHeight="1"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</row>
    <row r="847" ht="15.75" customHeight="1"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</row>
    <row r="848" ht="15.75" customHeight="1"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</row>
    <row r="849" ht="15.75" customHeight="1"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</row>
    <row r="850" ht="15.75" customHeight="1"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</row>
    <row r="851" ht="15.75" customHeight="1"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</row>
    <row r="852" ht="15.75" customHeight="1"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</row>
    <row r="853" ht="15.75" customHeight="1"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</row>
    <row r="854" ht="15.75" customHeight="1"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</row>
    <row r="855" ht="15.75" customHeight="1"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</row>
    <row r="856" ht="15.75" customHeight="1"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</row>
    <row r="857" ht="15.75" customHeight="1"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</row>
    <row r="858" ht="15.75" customHeight="1"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</row>
    <row r="859" ht="15.75" customHeight="1"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</row>
    <row r="860" ht="15.75" customHeight="1"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</row>
    <row r="861" ht="15.75" customHeight="1"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</row>
    <row r="862" ht="15.75" customHeight="1"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</row>
    <row r="863" ht="15.75" customHeight="1"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</row>
    <row r="864" ht="15.75" customHeight="1"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</row>
    <row r="865" ht="15.75" customHeight="1"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</row>
    <row r="866" ht="15.75" customHeight="1"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</row>
    <row r="867" ht="15.75" customHeight="1"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</row>
    <row r="868" ht="15.75" customHeight="1"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</row>
    <row r="869" ht="15.75" customHeight="1"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</row>
    <row r="870" ht="15.75" customHeight="1"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</row>
    <row r="871" ht="15.75" customHeight="1"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</row>
    <row r="872" ht="15.75" customHeight="1"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</row>
    <row r="873" ht="15.75" customHeight="1"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</row>
    <row r="874" ht="15.75" customHeight="1"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</row>
    <row r="875" ht="15.75" customHeight="1"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</row>
    <row r="876" ht="15.75" customHeight="1"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</row>
    <row r="877" ht="15.75" customHeight="1"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</row>
    <row r="878" ht="15.75" customHeight="1"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</row>
    <row r="879" ht="15.75" customHeight="1"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</row>
    <row r="880" ht="15.75" customHeight="1"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</row>
    <row r="881" ht="15.75" customHeight="1"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</row>
    <row r="882" ht="15.75" customHeight="1"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</row>
    <row r="883" ht="15.75" customHeight="1"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</row>
    <row r="884" ht="15.75" customHeight="1"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</row>
    <row r="885" ht="15.75" customHeight="1"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</row>
    <row r="886" ht="15.75" customHeight="1"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</row>
    <row r="887" ht="15.75" customHeight="1"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</row>
    <row r="888" ht="15.75" customHeight="1"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</row>
    <row r="889" ht="15.75" customHeight="1"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</row>
    <row r="890" ht="15.75" customHeight="1"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</row>
    <row r="891" ht="15.75" customHeight="1"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</row>
    <row r="892" ht="15.75" customHeight="1"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</row>
    <row r="893" ht="15.75" customHeight="1"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</row>
    <row r="894" ht="15.75" customHeight="1"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</row>
    <row r="895" ht="15.75" customHeight="1"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</row>
    <row r="896" ht="15.75" customHeight="1"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</row>
    <row r="897" ht="15.75" customHeight="1"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</row>
    <row r="898" ht="15.75" customHeight="1"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</row>
    <row r="899" ht="15.75" customHeight="1"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</row>
    <row r="900" ht="15.75" customHeight="1"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</row>
    <row r="901" ht="15.75" customHeight="1"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</row>
    <row r="902" ht="15.75" customHeight="1"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</row>
    <row r="903" ht="15.75" customHeight="1"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</row>
    <row r="904" ht="15.75" customHeight="1"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</row>
    <row r="905" ht="15.75" customHeight="1"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</row>
    <row r="906" ht="15.75" customHeight="1"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</row>
    <row r="907" ht="15.75" customHeight="1"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</row>
    <row r="908" ht="15.75" customHeight="1"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</row>
    <row r="909" ht="15.75" customHeight="1"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</row>
    <row r="910" ht="15.75" customHeight="1"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</row>
    <row r="911" ht="15.75" customHeight="1"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</row>
    <row r="912" ht="15.75" customHeight="1"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</row>
    <row r="913" ht="15.75" customHeight="1"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</row>
    <row r="914" ht="15.75" customHeight="1"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</row>
    <row r="915" ht="15.75" customHeight="1"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</row>
    <row r="916" ht="15.75" customHeight="1"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</row>
    <row r="917" ht="15.75" customHeight="1"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</row>
    <row r="918" ht="15.75" customHeight="1"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</row>
    <row r="919" ht="15.75" customHeight="1"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</row>
    <row r="920" ht="15.75" customHeight="1"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</row>
    <row r="921" ht="15.75" customHeight="1"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</row>
    <row r="922" ht="15.75" customHeight="1"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</row>
    <row r="923" ht="15.75" customHeight="1"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</row>
    <row r="924" ht="15.75" customHeight="1"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</row>
    <row r="925" ht="15.75" customHeight="1"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</row>
    <row r="926" ht="15.75" customHeight="1"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</row>
    <row r="927" ht="15.75" customHeight="1"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</row>
    <row r="928" ht="15.75" customHeight="1"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</row>
    <row r="929" ht="15.75" customHeight="1"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</row>
    <row r="930" ht="15.75" customHeight="1"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</row>
    <row r="931" ht="15.75" customHeight="1"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</row>
    <row r="932" ht="15.75" customHeight="1"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</row>
    <row r="933" ht="15.75" customHeight="1"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</row>
    <row r="934" ht="15.75" customHeight="1"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</row>
    <row r="935" ht="15.75" customHeight="1"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</row>
    <row r="936" ht="15.75" customHeight="1"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</row>
    <row r="937" ht="15.75" customHeight="1"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</row>
    <row r="938" ht="15.75" customHeight="1"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</row>
    <row r="939" ht="15.75" customHeight="1"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</row>
    <row r="940" ht="15.75" customHeight="1"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</row>
    <row r="941" ht="15.75" customHeight="1"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</row>
    <row r="942" ht="15.75" customHeight="1"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</row>
    <row r="943" ht="15.75" customHeight="1"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</row>
    <row r="944" ht="15.75" customHeight="1"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</row>
    <row r="945" ht="15.75" customHeight="1"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</row>
    <row r="946" ht="15.75" customHeight="1"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</row>
    <row r="947" ht="15.75" customHeight="1"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</row>
    <row r="948" ht="15.75" customHeight="1"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</row>
    <row r="949" ht="15.75" customHeight="1"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</row>
    <row r="950" ht="15.75" customHeight="1"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</row>
    <row r="951" ht="15.75" customHeight="1"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</row>
    <row r="952" ht="15.75" customHeight="1"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</row>
    <row r="953" ht="15.75" customHeight="1"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</row>
    <row r="954" ht="15.75" customHeight="1"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</row>
    <row r="955" ht="15.75" customHeight="1"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</row>
    <row r="956" ht="15.75" customHeight="1"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</row>
    <row r="957" ht="15.75" customHeight="1"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</row>
    <row r="958" ht="15.75" customHeight="1"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</row>
    <row r="959" ht="15.75" customHeight="1"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</row>
    <row r="960" ht="15.75" customHeight="1"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</row>
    <row r="961" ht="15.75" customHeight="1"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</row>
    <row r="962" ht="15.75" customHeight="1"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</row>
    <row r="963" ht="15.75" customHeight="1"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</row>
    <row r="964" ht="15.75" customHeight="1"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</row>
    <row r="965" ht="15.75" customHeight="1"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</row>
    <row r="966" ht="15.75" customHeight="1"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</row>
    <row r="967" ht="15.75" customHeight="1"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</row>
    <row r="968" ht="15.75" customHeight="1"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</row>
    <row r="969" ht="15.75" customHeight="1"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</row>
    <row r="970" ht="15.75" customHeight="1"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</row>
    <row r="971" ht="15.75" customHeight="1"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</row>
    <row r="972" ht="15.75" customHeight="1"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</row>
    <row r="973" ht="15.75" customHeight="1"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</row>
    <row r="974" ht="15.75" customHeight="1"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</row>
    <row r="975" ht="15.75" customHeight="1"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</row>
    <row r="976" ht="15.75" customHeight="1"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</row>
    <row r="977" ht="15.75" customHeight="1"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</row>
    <row r="978" ht="15.75" customHeight="1"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</row>
    <row r="979" ht="15.75" customHeight="1"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</row>
    <row r="980" ht="15.75" customHeight="1"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</row>
    <row r="981" ht="15.75" customHeight="1"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</row>
    <row r="982" ht="15.75" customHeight="1"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</row>
    <row r="983" ht="15.75" customHeight="1"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</row>
    <row r="984" ht="15.75" customHeight="1"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</row>
    <row r="985" ht="15.75" customHeight="1"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</row>
    <row r="986" ht="15.75" customHeight="1"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</row>
    <row r="987" ht="15.75" customHeight="1"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</row>
    <row r="988" ht="15.75" customHeight="1"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</row>
    <row r="989" ht="15.75" customHeight="1"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</row>
    <row r="990" ht="15.75" customHeight="1"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</row>
    <row r="991" ht="15.75" customHeight="1"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</row>
    <row r="992" ht="15.75" customHeight="1"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</row>
    <row r="993" ht="15.75" customHeight="1"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</row>
    <row r="994" ht="15.75" customHeight="1"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</row>
    <row r="995" ht="15.75" customHeight="1"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</row>
    <row r="996" ht="15.75" customHeight="1"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</row>
    <row r="997" ht="15.75" customHeight="1"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</row>
    <row r="998" ht="15.75" customHeight="1"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</row>
    <row r="999" ht="15.75" customHeight="1"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D999" s="112"/>
      <c r="AE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</row>
    <row r="1000" ht="15.75" customHeight="1"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D1000" s="112"/>
      <c r="AE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</row>
    <row r="1001" ht="15.75" customHeight="1"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  <c r="AA1001" s="112"/>
      <c r="AB1001" s="112"/>
      <c r="AD1001" s="112"/>
      <c r="AE1001" s="112"/>
      <c r="AF1001" s="112"/>
      <c r="AG1001" s="112"/>
      <c r="AH1001" s="112"/>
      <c r="AI1001" s="112"/>
      <c r="AJ1001" s="112"/>
      <c r="AK1001" s="112"/>
      <c r="AL1001" s="112"/>
      <c r="AM1001" s="112"/>
      <c r="AN1001" s="112"/>
      <c r="AO1001" s="112"/>
      <c r="AP1001" s="112"/>
      <c r="AQ1001" s="112"/>
      <c r="AR1001" s="112"/>
    </row>
    <row r="1002" ht="15.75" customHeight="1"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  <c r="AA1002" s="112"/>
      <c r="AB1002" s="112"/>
      <c r="AD1002" s="112"/>
      <c r="AE1002" s="112"/>
      <c r="AF1002" s="112"/>
      <c r="AG1002" s="112"/>
      <c r="AH1002" s="112"/>
      <c r="AI1002" s="112"/>
      <c r="AJ1002" s="112"/>
      <c r="AK1002" s="112"/>
      <c r="AL1002" s="112"/>
      <c r="AM1002" s="112"/>
      <c r="AN1002" s="112"/>
      <c r="AO1002" s="112"/>
      <c r="AP1002" s="112"/>
      <c r="AQ1002" s="112"/>
      <c r="AR1002" s="112"/>
    </row>
    <row r="1003" ht="15.75" customHeight="1"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  <c r="AA1003" s="112"/>
      <c r="AB1003" s="112"/>
      <c r="AD1003" s="112"/>
      <c r="AE1003" s="112"/>
      <c r="AF1003" s="112"/>
      <c r="AG1003" s="112"/>
      <c r="AH1003" s="112"/>
      <c r="AI1003" s="112"/>
      <c r="AJ1003" s="112"/>
      <c r="AK1003" s="112"/>
      <c r="AL1003" s="112"/>
      <c r="AM1003" s="112"/>
      <c r="AN1003" s="112"/>
      <c r="AO1003" s="112"/>
      <c r="AP1003" s="112"/>
      <c r="AQ1003" s="112"/>
      <c r="AR1003" s="112"/>
    </row>
    <row r="1004" ht="15.75" customHeight="1"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  <c r="AA1004" s="112"/>
      <c r="AB1004" s="112"/>
      <c r="AD1004" s="112"/>
      <c r="AE1004" s="112"/>
      <c r="AF1004" s="112"/>
      <c r="AG1004" s="112"/>
      <c r="AH1004" s="112"/>
      <c r="AI1004" s="112"/>
      <c r="AJ1004" s="112"/>
      <c r="AK1004" s="112"/>
      <c r="AL1004" s="112"/>
      <c r="AM1004" s="112"/>
      <c r="AN1004" s="112"/>
      <c r="AO1004" s="112"/>
      <c r="AP1004" s="112"/>
      <c r="AQ1004" s="112"/>
      <c r="AR1004" s="112"/>
    </row>
    <row r="1005" ht="15.75" customHeight="1"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  <c r="AA1005" s="112"/>
      <c r="AB1005" s="112"/>
      <c r="AD1005" s="112"/>
      <c r="AE1005" s="112"/>
      <c r="AF1005" s="112"/>
      <c r="AG1005" s="112"/>
      <c r="AH1005" s="112"/>
      <c r="AI1005" s="112"/>
      <c r="AJ1005" s="112"/>
      <c r="AK1005" s="112"/>
      <c r="AL1005" s="112"/>
      <c r="AM1005" s="112"/>
      <c r="AN1005" s="112"/>
      <c r="AO1005" s="112"/>
      <c r="AP1005" s="112"/>
      <c r="AQ1005" s="112"/>
      <c r="AR1005" s="112"/>
    </row>
    <row r="1006" ht="15.75" customHeight="1"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  <c r="AA1006" s="112"/>
      <c r="AB1006" s="112"/>
      <c r="AD1006" s="112"/>
      <c r="AE1006" s="112"/>
      <c r="AF1006" s="112"/>
      <c r="AG1006" s="112"/>
      <c r="AH1006" s="112"/>
      <c r="AI1006" s="112"/>
      <c r="AJ1006" s="112"/>
      <c r="AK1006" s="112"/>
      <c r="AL1006" s="112"/>
      <c r="AM1006" s="112"/>
      <c r="AN1006" s="112"/>
      <c r="AO1006" s="112"/>
      <c r="AP1006" s="112"/>
      <c r="AQ1006" s="112"/>
      <c r="AR1006" s="112"/>
    </row>
    <row r="1007" ht="15.75" customHeight="1"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  <c r="AA1007" s="112"/>
      <c r="AB1007" s="112"/>
      <c r="AD1007" s="112"/>
      <c r="AE1007" s="112"/>
      <c r="AF1007" s="112"/>
      <c r="AG1007" s="112"/>
      <c r="AH1007" s="112"/>
      <c r="AI1007" s="112"/>
      <c r="AJ1007" s="112"/>
      <c r="AK1007" s="112"/>
      <c r="AL1007" s="112"/>
      <c r="AM1007" s="112"/>
      <c r="AN1007" s="112"/>
      <c r="AO1007" s="112"/>
      <c r="AP1007" s="112"/>
      <c r="AQ1007" s="112"/>
      <c r="AR1007" s="112"/>
    </row>
    <row r="1008" ht="15.75" customHeight="1"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  <c r="AA1008" s="112"/>
      <c r="AB1008" s="112"/>
      <c r="AD1008" s="112"/>
      <c r="AE1008" s="112"/>
      <c r="AF1008" s="112"/>
      <c r="AG1008" s="112"/>
      <c r="AH1008" s="112"/>
      <c r="AI1008" s="112"/>
      <c r="AJ1008" s="112"/>
      <c r="AK1008" s="112"/>
      <c r="AL1008" s="112"/>
      <c r="AM1008" s="112"/>
      <c r="AN1008" s="112"/>
      <c r="AO1008" s="112"/>
      <c r="AP1008" s="112"/>
      <c r="AQ1008" s="112"/>
      <c r="AR1008" s="112"/>
    </row>
    <row r="1009" ht="15.75" customHeight="1"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  <c r="AA1009" s="112"/>
      <c r="AB1009" s="112"/>
      <c r="AD1009" s="112"/>
      <c r="AE1009" s="112"/>
      <c r="AF1009" s="112"/>
      <c r="AG1009" s="112"/>
      <c r="AH1009" s="112"/>
      <c r="AI1009" s="112"/>
      <c r="AJ1009" s="112"/>
      <c r="AK1009" s="112"/>
      <c r="AL1009" s="112"/>
      <c r="AM1009" s="112"/>
      <c r="AN1009" s="112"/>
      <c r="AO1009" s="112"/>
      <c r="AP1009" s="112"/>
      <c r="AQ1009" s="112"/>
      <c r="AR1009" s="112"/>
    </row>
    <row r="1010" ht="15.75" customHeight="1"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  <c r="AA1010" s="112"/>
      <c r="AB1010" s="112"/>
      <c r="AD1010" s="112"/>
      <c r="AE1010" s="112"/>
      <c r="AF1010" s="112"/>
      <c r="AG1010" s="112"/>
      <c r="AH1010" s="112"/>
      <c r="AI1010" s="112"/>
      <c r="AJ1010" s="112"/>
      <c r="AK1010" s="112"/>
      <c r="AL1010" s="112"/>
      <c r="AM1010" s="112"/>
      <c r="AN1010" s="112"/>
      <c r="AO1010" s="112"/>
      <c r="AP1010" s="112"/>
      <c r="AQ1010" s="112"/>
      <c r="AR1010" s="112"/>
    </row>
    <row r="1011" ht="15.75" customHeight="1"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  <c r="AA1011" s="112"/>
      <c r="AB1011" s="112"/>
      <c r="AD1011" s="112"/>
      <c r="AE1011" s="112"/>
      <c r="AF1011" s="112"/>
      <c r="AG1011" s="112"/>
      <c r="AH1011" s="112"/>
      <c r="AI1011" s="112"/>
      <c r="AJ1011" s="112"/>
      <c r="AK1011" s="112"/>
      <c r="AL1011" s="112"/>
      <c r="AM1011" s="112"/>
      <c r="AN1011" s="112"/>
      <c r="AO1011" s="112"/>
      <c r="AP1011" s="112"/>
      <c r="AQ1011" s="112"/>
      <c r="AR1011" s="112"/>
    </row>
    <row r="1012" ht="15.75" customHeight="1"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  <c r="AA1012" s="112"/>
      <c r="AB1012" s="112"/>
      <c r="AD1012" s="112"/>
      <c r="AE1012" s="112"/>
      <c r="AF1012" s="112"/>
      <c r="AG1012" s="112"/>
      <c r="AH1012" s="112"/>
      <c r="AI1012" s="112"/>
      <c r="AJ1012" s="112"/>
      <c r="AK1012" s="112"/>
      <c r="AL1012" s="112"/>
      <c r="AM1012" s="112"/>
      <c r="AN1012" s="112"/>
      <c r="AO1012" s="112"/>
      <c r="AP1012" s="112"/>
      <c r="AQ1012" s="112"/>
      <c r="AR1012" s="112"/>
    </row>
    <row r="1013" ht="15.75" customHeight="1"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  <c r="AA1013" s="112"/>
      <c r="AB1013" s="112"/>
      <c r="AD1013" s="112"/>
      <c r="AE1013" s="112"/>
      <c r="AF1013" s="112"/>
      <c r="AG1013" s="112"/>
      <c r="AH1013" s="112"/>
      <c r="AI1013" s="112"/>
      <c r="AJ1013" s="112"/>
      <c r="AK1013" s="112"/>
      <c r="AL1013" s="112"/>
      <c r="AM1013" s="112"/>
      <c r="AN1013" s="112"/>
      <c r="AO1013" s="112"/>
      <c r="AP1013" s="112"/>
      <c r="AQ1013" s="112"/>
      <c r="AR1013" s="112"/>
    </row>
    <row r="1014" ht="15.75" customHeight="1"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  <c r="AA1014" s="112"/>
      <c r="AB1014" s="112"/>
      <c r="AD1014" s="112"/>
      <c r="AE1014" s="112"/>
      <c r="AF1014" s="112"/>
      <c r="AG1014" s="112"/>
      <c r="AH1014" s="112"/>
      <c r="AI1014" s="112"/>
      <c r="AJ1014" s="112"/>
      <c r="AK1014" s="112"/>
      <c r="AL1014" s="112"/>
      <c r="AM1014" s="112"/>
      <c r="AN1014" s="112"/>
      <c r="AO1014" s="112"/>
      <c r="AP1014" s="112"/>
      <c r="AQ1014" s="112"/>
      <c r="AR1014" s="112"/>
    </row>
    <row r="1015" ht="15.75" customHeight="1"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  <c r="AA1015" s="112"/>
      <c r="AB1015" s="112"/>
      <c r="AD1015" s="112"/>
      <c r="AE1015" s="112"/>
      <c r="AF1015" s="112"/>
      <c r="AG1015" s="112"/>
      <c r="AH1015" s="112"/>
      <c r="AI1015" s="112"/>
      <c r="AJ1015" s="112"/>
      <c r="AK1015" s="112"/>
      <c r="AL1015" s="112"/>
      <c r="AM1015" s="112"/>
      <c r="AN1015" s="112"/>
      <c r="AO1015" s="112"/>
      <c r="AP1015" s="112"/>
      <c r="AQ1015" s="112"/>
      <c r="AR1015" s="112"/>
    </row>
    <row r="1016" ht="15.75" customHeight="1"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  <c r="AA1016" s="112"/>
      <c r="AB1016" s="112"/>
      <c r="AD1016" s="112"/>
      <c r="AE1016" s="112"/>
      <c r="AF1016" s="112"/>
      <c r="AG1016" s="112"/>
      <c r="AH1016" s="112"/>
      <c r="AI1016" s="112"/>
      <c r="AJ1016" s="112"/>
      <c r="AK1016" s="112"/>
      <c r="AL1016" s="112"/>
      <c r="AM1016" s="112"/>
      <c r="AN1016" s="112"/>
      <c r="AO1016" s="112"/>
      <c r="AP1016" s="112"/>
      <c r="AQ1016" s="112"/>
      <c r="AR1016" s="112"/>
    </row>
    <row r="1017" ht="15.75" customHeight="1"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  <c r="AA1017" s="112"/>
      <c r="AB1017" s="112"/>
      <c r="AD1017" s="112"/>
      <c r="AE1017" s="112"/>
      <c r="AF1017" s="112"/>
      <c r="AG1017" s="112"/>
      <c r="AH1017" s="112"/>
      <c r="AI1017" s="112"/>
      <c r="AJ1017" s="112"/>
      <c r="AK1017" s="112"/>
      <c r="AL1017" s="112"/>
      <c r="AM1017" s="112"/>
      <c r="AN1017" s="112"/>
      <c r="AO1017" s="112"/>
      <c r="AP1017" s="112"/>
      <c r="AQ1017" s="112"/>
      <c r="AR1017" s="112"/>
    </row>
    <row r="1018" ht="15.75" customHeight="1"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  <c r="AA1018" s="112"/>
      <c r="AB1018" s="112"/>
      <c r="AD1018" s="112"/>
      <c r="AE1018" s="112"/>
      <c r="AF1018" s="112"/>
      <c r="AG1018" s="112"/>
      <c r="AH1018" s="112"/>
      <c r="AI1018" s="112"/>
      <c r="AJ1018" s="112"/>
      <c r="AK1018" s="112"/>
      <c r="AL1018" s="112"/>
      <c r="AM1018" s="112"/>
      <c r="AN1018" s="112"/>
      <c r="AO1018" s="112"/>
      <c r="AP1018" s="112"/>
      <c r="AQ1018" s="112"/>
      <c r="AR1018" s="112"/>
    </row>
    <row r="1019" ht="15.75" customHeight="1"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  <c r="AA1019" s="112"/>
      <c r="AB1019" s="112"/>
      <c r="AD1019" s="112"/>
      <c r="AE1019" s="112"/>
      <c r="AF1019" s="112"/>
      <c r="AG1019" s="112"/>
      <c r="AH1019" s="112"/>
      <c r="AI1019" s="112"/>
      <c r="AJ1019" s="112"/>
      <c r="AK1019" s="112"/>
      <c r="AL1019" s="112"/>
      <c r="AM1019" s="112"/>
      <c r="AN1019" s="112"/>
      <c r="AO1019" s="112"/>
      <c r="AP1019" s="112"/>
      <c r="AQ1019" s="112"/>
      <c r="AR1019" s="112"/>
    </row>
    <row r="1020" ht="15.75" customHeight="1"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  <c r="AA1020" s="112"/>
      <c r="AB1020" s="112"/>
      <c r="AD1020" s="112"/>
      <c r="AE1020" s="112"/>
      <c r="AF1020" s="112"/>
      <c r="AG1020" s="112"/>
      <c r="AH1020" s="112"/>
      <c r="AI1020" s="112"/>
      <c r="AJ1020" s="112"/>
      <c r="AK1020" s="112"/>
      <c r="AL1020" s="112"/>
      <c r="AM1020" s="112"/>
      <c r="AN1020" s="112"/>
      <c r="AO1020" s="112"/>
      <c r="AP1020" s="112"/>
      <c r="AQ1020" s="112"/>
      <c r="AR1020" s="112"/>
    </row>
    <row r="1021" ht="15.75" customHeight="1"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  <c r="AA1021" s="112"/>
      <c r="AB1021" s="112"/>
      <c r="AD1021" s="112"/>
      <c r="AE1021" s="112"/>
      <c r="AF1021" s="112"/>
      <c r="AG1021" s="112"/>
      <c r="AH1021" s="112"/>
      <c r="AI1021" s="112"/>
      <c r="AJ1021" s="112"/>
      <c r="AK1021" s="112"/>
      <c r="AL1021" s="112"/>
      <c r="AM1021" s="112"/>
      <c r="AN1021" s="112"/>
      <c r="AO1021" s="112"/>
      <c r="AP1021" s="112"/>
      <c r="AQ1021" s="112"/>
      <c r="AR1021" s="112"/>
    </row>
    <row r="1022" ht="15.75" customHeight="1"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  <c r="AA1022" s="112"/>
      <c r="AB1022" s="112"/>
      <c r="AD1022" s="112"/>
      <c r="AE1022" s="112"/>
      <c r="AF1022" s="112"/>
      <c r="AG1022" s="112"/>
      <c r="AH1022" s="112"/>
      <c r="AI1022" s="112"/>
      <c r="AJ1022" s="112"/>
      <c r="AK1022" s="112"/>
      <c r="AL1022" s="112"/>
      <c r="AM1022" s="112"/>
      <c r="AN1022" s="112"/>
      <c r="AO1022" s="112"/>
      <c r="AP1022" s="112"/>
      <c r="AQ1022" s="112"/>
      <c r="AR1022" s="112"/>
    </row>
    <row r="1023" ht="15.75" customHeight="1"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  <c r="AA1023" s="112"/>
      <c r="AB1023" s="112"/>
      <c r="AD1023" s="112"/>
      <c r="AE1023" s="112"/>
      <c r="AF1023" s="112"/>
      <c r="AG1023" s="112"/>
      <c r="AH1023" s="112"/>
      <c r="AI1023" s="112"/>
      <c r="AJ1023" s="112"/>
      <c r="AK1023" s="112"/>
      <c r="AL1023" s="112"/>
      <c r="AM1023" s="112"/>
      <c r="AN1023" s="112"/>
      <c r="AO1023" s="112"/>
      <c r="AP1023" s="112"/>
      <c r="AQ1023" s="112"/>
      <c r="AR1023" s="112"/>
    </row>
    <row r="1024" ht="15.75" customHeight="1"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  <c r="AA1024" s="112"/>
      <c r="AB1024" s="112"/>
      <c r="AD1024" s="112"/>
      <c r="AE1024" s="112"/>
      <c r="AF1024" s="112"/>
      <c r="AG1024" s="112"/>
      <c r="AH1024" s="112"/>
      <c r="AI1024" s="112"/>
      <c r="AJ1024" s="112"/>
      <c r="AK1024" s="112"/>
      <c r="AL1024" s="112"/>
      <c r="AM1024" s="112"/>
      <c r="AN1024" s="112"/>
      <c r="AO1024" s="112"/>
      <c r="AP1024" s="112"/>
      <c r="AQ1024" s="112"/>
      <c r="AR1024" s="112"/>
    </row>
  </sheetData>
  <mergeCells count="31">
    <mergeCell ref="B1:E1"/>
    <mergeCell ref="B2:E2"/>
    <mergeCell ref="C5:F5"/>
    <mergeCell ref="A7:B7"/>
    <mergeCell ref="C7:K7"/>
    <mergeCell ref="L7:O7"/>
    <mergeCell ref="P7:T7"/>
    <mergeCell ref="A8:B8"/>
    <mergeCell ref="A11:B12"/>
    <mergeCell ref="A14:B15"/>
    <mergeCell ref="A78:D78"/>
    <mergeCell ref="L9:O9"/>
    <mergeCell ref="L11:O12"/>
    <mergeCell ref="C8:K8"/>
    <mergeCell ref="L8:O8"/>
    <mergeCell ref="P8:T8"/>
    <mergeCell ref="C9:K9"/>
    <mergeCell ref="P9:T9"/>
    <mergeCell ref="A10:T10"/>
    <mergeCell ref="P11:T11"/>
    <mergeCell ref="C16:G16"/>
    <mergeCell ref="H16:K16"/>
    <mergeCell ref="L16:O16"/>
    <mergeCell ref="P16:S16"/>
    <mergeCell ref="C11:K11"/>
    <mergeCell ref="C12:K12"/>
    <mergeCell ref="P12:T12"/>
    <mergeCell ref="A13:T13"/>
    <mergeCell ref="C14:T14"/>
    <mergeCell ref="C15:G15"/>
    <mergeCell ref="H15:S15"/>
  </mergeCells>
  <conditionalFormatting sqref="C11:K11">
    <cfRule type="notContainsText" dxfId="3" priority="1" operator="notContains" text="&lt;TYPE YOUR FULL NAME HERE&gt;">
      <formula>ISERROR(SEARCH(("&lt;TYPE YOUR FULL NAME HERE&gt;"),(C11)))</formula>
    </cfRule>
  </conditionalFormatting>
  <conditionalFormatting sqref="B2:E2">
    <cfRule type="notContainsText" dxfId="4" priority="2" operator="notContains" text="Campus">
      <formula>ISERROR(SEARCH(("Campus"),(B2)))</formula>
    </cfRule>
  </conditionalFormatting>
  <conditionalFormatting sqref="C5">
    <cfRule type="notContainsText" dxfId="5" priority="3" operator="notContains" text="TYPE SEM/SY HERE">
      <formula>ISERROR(SEARCH(("TYPE SEM/SY HERE"),(C5)))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5.43"/>
    <col customWidth="1" min="3" max="19" width="7.29"/>
    <col customWidth="1" min="20" max="20" width="8.71"/>
    <col customWidth="1" min="21" max="44" width="5.14"/>
    <col customWidth="1" min="45" max="45" width="2.57"/>
    <col customWidth="1" min="46" max="47" width="8.0"/>
    <col customWidth="1" min="48" max="48" width="5.14"/>
    <col customWidth="1" min="49" max="49" width="2.57"/>
    <col customWidth="1" min="50" max="51" width="8.0"/>
    <col customWidth="1" min="52" max="52" width="2.57"/>
    <col customWidth="1" min="53" max="56" width="8.0"/>
  </cols>
  <sheetData>
    <row r="1" ht="34.5" customHeight="1">
      <c r="A1" s="38"/>
      <c r="B1" s="39" t="s">
        <v>23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V1" s="38"/>
      <c r="AW1" s="38"/>
      <c r="AZ1" s="119"/>
      <c r="BC1" s="120"/>
      <c r="BD1" s="120"/>
    </row>
    <row r="2" ht="15.75" customHeight="1">
      <c r="B2" s="121" t="str">
        <f>Prelim!B2</f>
        <v>&lt;Type Campus here&gt;</v>
      </c>
      <c r="AZ2" s="38"/>
      <c r="BC2" s="120"/>
      <c r="BD2" s="120"/>
    </row>
    <row r="3" ht="15.75" customHeight="1">
      <c r="AZ3" s="41"/>
      <c r="BC3" s="120"/>
      <c r="BD3" s="120"/>
    </row>
    <row r="4" ht="15.75" customHeight="1">
      <c r="A4" s="41"/>
      <c r="B4" s="42" t="s">
        <v>68</v>
      </c>
      <c r="C4" s="43"/>
      <c r="E4" s="43"/>
      <c r="F4" s="43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V4" s="41"/>
      <c r="AW4" s="41"/>
      <c r="AZ4" s="47"/>
    </row>
    <row r="5" ht="28.5" customHeight="1">
      <c r="A5" s="44"/>
      <c r="B5" s="45" t="s">
        <v>26</v>
      </c>
      <c r="C5" s="122" t="str">
        <f>Prelim!C5</f>
        <v>&lt;TYPE SEM/SY HERE&gt;</v>
      </c>
      <c r="D5" s="122"/>
      <c r="E5" s="123"/>
      <c r="F5" s="123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V5" s="47"/>
      <c r="AW5" s="47"/>
      <c r="AZ5" s="57"/>
    </row>
    <row r="6" ht="1.5" customHeight="1">
      <c r="A6" s="47"/>
      <c r="B6" s="123"/>
      <c r="C6" s="123"/>
      <c r="D6" s="123"/>
      <c r="E6" s="123"/>
      <c r="F6" s="123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V6" s="47"/>
      <c r="AW6" s="47"/>
      <c r="AZ6" s="47"/>
    </row>
    <row r="7" ht="27.75" customHeight="1">
      <c r="A7" s="53" t="s">
        <v>28</v>
      </c>
      <c r="B7" s="3"/>
      <c r="C7" s="124" t="str">
        <f>MConfig!C5</f>
        <v>IS303</v>
      </c>
      <c r="D7" s="2"/>
      <c r="E7" s="2"/>
      <c r="F7" s="2"/>
      <c r="G7" s="2"/>
      <c r="H7" s="2"/>
      <c r="I7" s="2"/>
      <c r="J7" s="2"/>
      <c r="K7" s="3"/>
      <c r="L7" s="125" t="s">
        <v>29</v>
      </c>
      <c r="M7" s="2"/>
      <c r="N7" s="2"/>
      <c r="O7" s="3"/>
      <c r="P7" s="51"/>
      <c r="Q7" s="2"/>
      <c r="R7" s="2"/>
      <c r="S7" s="2"/>
      <c r="T7" s="3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V7" s="47"/>
      <c r="AW7" s="47"/>
    </row>
    <row r="8" ht="30.75" customHeight="1">
      <c r="A8" s="53" t="s">
        <v>30</v>
      </c>
      <c r="B8" s="3"/>
      <c r="C8" s="54" t="str">
        <f>MConfig!C6</f>
        <v>INFO SEC</v>
      </c>
      <c r="D8" s="2"/>
      <c r="E8" s="2"/>
      <c r="F8" s="2"/>
      <c r="G8" s="2"/>
      <c r="H8" s="2"/>
      <c r="I8" s="2"/>
      <c r="J8" s="2"/>
      <c r="K8" s="3"/>
      <c r="L8" s="125" t="s">
        <v>31</v>
      </c>
      <c r="M8" s="2"/>
      <c r="N8" s="2"/>
      <c r="O8" s="3"/>
      <c r="P8" s="55"/>
      <c r="Q8" s="2"/>
      <c r="R8" s="2"/>
      <c r="S8" s="2"/>
      <c r="T8" s="3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V8" s="57"/>
      <c r="AW8" s="57"/>
    </row>
    <row r="9" ht="24.0" customHeight="1">
      <c r="A9" s="126" t="s">
        <v>6</v>
      </c>
      <c r="B9" s="127"/>
      <c r="C9" s="128">
        <f>MConfig!C7</f>
        <v>3</v>
      </c>
      <c r="D9" s="2"/>
      <c r="E9" s="2"/>
      <c r="F9" s="2"/>
      <c r="G9" s="2"/>
      <c r="H9" s="2"/>
      <c r="I9" s="2"/>
      <c r="J9" s="2"/>
      <c r="K9" s="3"/>
      <c r="L9" s="61" t="s">
        <v>32</v>
      </c>
      <c r="M9" s="2"/>
      <c r="N9" s="2"/>
      <c r="O9" s="3"/>
      <c r="P9" s="129"/>
      <c r="Q9" s="8"/>
      <c r="R9" s="8"/>
      <c r="S9" s="8"/>
      <c r="T9" s="9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V9" s="47"/>
      <c r="AW9" s="47"/>
    </row>
    <row r="10" ht="23.25" customHeight="1">
      <c r="A10" s="6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AZ10" s="12"/>
      <c r="BA10" s="12"/>
      <c r="BB10" s="12"/>
    </row>
    <row r="11" ht="23.25" customHeight="1">
      <c r="A11" s="64" t="s">
        <v>33</v>
      </c>
      <c r="B11" s="6"/>
      <c r="C11" s="65" t="str">
        <f>Prelim!C11</f>
        <v>&lt;TYPE YOUR FULL NAME HERE&gt;</v>
      </c>
      <c r="D11" s="2"/>
      <c r="E11" s="2"/>
      <c r="F11" s="2"/>
      <c r="G11" s="2"/>
      <c r="H11" s="2"/>
      <c r="I11" s="2"/>
      <c r="J11" s="2"/>
      <c r="K11" s="3"/>
      <c r="L11" s="66" t="s">
        <v>35</v>
      </c>
      <c r="O11" s="6"/>
      <c r="P11" s="67"/>
      <c r="Q11" s="8"/>
      <c r="R11" s="8"/>
      <c r="S11" s="8"/>
      <c r="T11" s="9"/>
      <c r="AZ11" s="12"/>
      <c r="BA11" s="12"/>
      <c r="BB11" s="12"/>
    </row>
    <row r="12" ht="23.25" customHeight="1">
      <c r="A12" s="68"/>
      <c r="B12" s="9"/>
      <c r="C12" s="69" t="s">
        <v>36</v>
      </c>
      <c r="D12" s="8"/>
      <c r="E12" s="8"/>
      <c r="F12" s="8"/>
      <c r="G12" s="8"/>
      <c r="H12" s="8"/>
      <c r="I12" s="8"/>
      <c r="J12" s="8"/>
      <c r="K12" s="9"/>
      <c r="L12" s="8"/>
      <c r="M12" s="8"/>
      <c r="N12" s="8"/>
      <c r="O12" s="9"/>
      <c r="P12" s="70" t="s">
        <v>37</v>
      </c>
      <c r="Q12" s="8"/>
      <c r="R12" s="8"/>
      <c r="S12" s="8"/>
      <c r="T12" s="9"/>
      <c r="AZ12" s="12"/>
      <c r="BA12" s="12"/>
      <c r="BB12" s="12"/>
    </row>
    <row r="13" ht="23.25" customHeight="1">
      <c r="A13" s="6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AZ13" s="12"/>
      <c r="BA13" s="12"/>
      <c r="BB13" s="12"/>
    </row>
    <row r="14" ht="23.25" customHeight="1">
      <c r="A14" s="71" t="s">
        <v>38</v>
      </c>
      <c r="B14" s="72"/>
      <c r="C14" s="130" t="s">
        <v>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AZ14" s="12"/>
      <c r="BA14" s="12"/>
      <c r="BB14" s="12"/>
    </row>
    <row r="15" ht="44.25" customHeight="1">
      <c r="A15" s="68"/>
      <c r="B15" s="9"/>
      <c r="C15" s="74" t="s">
        <v>14</v>
      </c>
      <c r="D15" s="2"/>
      <c r="E15" s="2"/>
      <c r="F15" s="2"/>
      <c r="G15" s="3"/>
      <c r="H15" s="75" t="s">
        <v>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76" t="s">
        <v>41</v>
      </c>
      <c r="U15" s="78"/>
      <c r="V15" s="78"/>
      <c r="W15" s="78"/>
      <c r="X15" s="78"/>
      <c r="Y15" s="79"/>
      <c r="Z15" s="79"/>
      <c r="AA15" s="79"/>
      <c r="AB15" s="79"/>
      <c r="AC15" s="79"/>
      <c r="AD15" s="79"/>
      <c r="AE15" s="79"/>
      <c r="AZ15" s="12"/>
      <c r="BA15" s="12"/>
      <c r="BB15" s="12"/>
    </row>
    <row r="16" ht="24.75" customHeight="1">
      <c r="A16" s="80"/>
      <c r="B16" s="81"/>
      <c r="C16" s="131"/>
      <c r="D16" s="2"/>
      <c r="E16" s="2"/>
      <c r="F16" s="2"/>
      <c r="G16" s="3"/>
      <c r="H16" s="83" t="s">
        <v>69</v>
      </c>
      <c r="I16" s="2"/>
      <c r="J16" s="2"/>
      <c r="K16" s="3"/>
      <c r="L16" s="83" t="s">
        <v>70</v>
      </c>
      <c r="M16" s="2"/>
      <c r="N16" s="2"/>
      <c r="O16" s="3"/>
      <c r="P16" s="84" t="s">
        <v>45</v>
      </c>
      <c r="Q16" s="2"/>
      <c r="R16" s="2"/>
      <c r="S16" s="3"/>
      <c r="T16" s="132"/>
      <c r="AZ16" s="12"/>
      <c r="BA16" s="12"/>
      <c r="BB16" s="12"/>
    </row>
    <row r="17" ht="24.75" customHeight="1">
      <c r="A17" s="80"/>
      <c r="B17" s="81"/>
      <c r="C17" s="86" t="s">
        <v>46</v>
      </c>
      <c r="D17" s="86" t="s">
        <v>47</v>
      </c>
      <c r="E17" s="86" t="s">
        <v>48</v>
      </c>
      <c r="F17" s="86" t="s">
        <v>49</v>
      </c>
      <c r="G17" s="86" t="s">
        <v>50</v>
      </c>
      <c r="H17" s="87" t="s">
        <v>51</v>
      </c>
      <c r="I17" s="86" t="s">
        <v>52</v>
      </c>
      <c r="J17" s="86" t="s">
        <v>53</v>
      </c>
      <c r="K17" s="86" t="s">
        <v>54</v>
      </c>
      <c r="L17" s="87" t="s">
        <v>55</v>
      </c>
      <c r="M17" s="86" t="s">
        <v>56</v>
      </c>
      <c r="N17" s="86" t="s">
        <v>57</v>
      </c>
      <c r="O17" s="86" t="s">
        <v>58</v>
      </c>
      <c r="P17" s="88" t="s">
        <v>59</v>
      </c>
      <c r="Q17" s="88" t="s">
        <v>60</v>
      </c>
      <c r="R17" s="88" t="s">
        <v>61</v>
      </c>
      <c r="S17" s="88" t="s">
        <v>62</v>
      </c>
      <c r="T17" s="89" t="s">
        <v>63</v>
      </c>
      <c r="AV17" s="12"/>
      <c r="AW17" s="12"/>
      <c r="AX17" s="12"/>
      <c r="AY17" s="12"/>
      <c r="AZ17" s="12"/>
      <c r="BA17" s="12"/>
      <c r="BB17" s="12"/>
    </row>
    <row r="18" ht="20.25" customHeight="1">
      <c r="A18" s="80"/>
      <c r="B18" s="90"/>
      <c r="D18" s="91" t="s">
        <v>64</v>
      </c>
      <c r="E18" s="91" t="s">
        <v>64</v>
      </c>
      <c r="F18" s="91" t="s">
        <v>64</v>
      </c>
      <c r="G18" s="91" t="s">
        <v>64</v>
      </c>
      <c r="H18" s="91" t="s">
        <v>64</v>
      </c>
      <c r="I18" s="91" t="s">
        <v>64</v>
      </c>
      <c r="J18" s="91" t="s">
        <v>64</v>
      </c>
      <c r="K18" s="91" t="s">
        <v>64</v>
      </c>
      <c r="L18" s="91" t="s">
        <v>64</v>
      </c>
      <c r="M18" s="91" t="s">
        <v>64</v>
      </c>
      <c r="N18" s="91" t="s">
        <v>64</v>
      </c>
      <c r="O18" s="91" t="s">
        <v>64</v>
      </c>
      <c r="P18" s="91" t="s">
        <v>64</v>
      </c>
      <c r="Q18" s="91" t="s">
        <v>64</v>
      </c>
      <c r="R18" s="91" t="s">
        <v>64</v>
      </c>
      <c r="S18" s="91" t="s">
        <v>64</v>
      </c>
      <c r="T18" s="92" t="s">
        <v>64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ht="34.5" customHeight="1">
      <c r="A19" s="80"/>
      <c r="B19" s="90"/>
      <c r="C19" s="93">
        <v>30.0</v>
      </c>
      <c r="D19" s="93">
        <v>60.0</v>
      </c>
      <c r="E19" s="93">
        <v>60.0</v>
      </c>
      <c r="F19" s="93">
        <v>20.0</v>
      </c>
      <c r="G19" s="93">
        <v>50.0</v>
      </c>
      <c r="H19" s="94"/>
      <c r="I19" s="95"/>
      <c r="J19" s="96"/>
      <c r="K19" s="96"/>
      <c r="L19" s="97"/>
      <c r="M19" s="98"/>
      <c r="N19" s="99"/>
      <c r="O19" s="97"/>
      <c r="P19" s="100"/>
      <c r="Q19" s="100"/>
      <c r="R19" s="100"/>
      <c r="S19" s="100"/>
      <c r="T19" s="101">
        <v>80.0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34"/>
      <c r="BA19" s="34"/>
      <c r="BB19" s="34"/>
      <c r="BC19" s="34"/>
      <c r="BD19" s="34"/>
    </row>
    <row r="20" ht="34.5" customHeight="1">
      <c r="A20" s="102">
        <v>1.0</v>
      </c>
      <c r="B20" s="103" t="str">
        <f>Prelim!$B20</f>
        <v>AAAA</v>
      </c>
      <c r="C20" s="104">
        <v>30.0</v>
      </c>
      <c r="D20" s="105">
        <v>60.0</v>
      </c>
      <c r="E20" s="104">
        <v>60.0</v>
      </c>
      <c r="F20" s="106">
        <v>20.0</v>
      </c>
      <c r="G20" s="104">
        <v>50.0</v>
      </c>
      <c r="H20" s="106">
        <v>75.0</v>
      </c>
      <c r="I20" s="107">
        <v>80.0</v>
      </c>
      <c r="J20" s="106">
        <v>90.0</v>
      </c>
      <c r="K20" s="106"/>
      <c r="L20" s="108">
        <v>85.0</v>
      </c>
      <c r="M20" s="104">
        <v>90.0</v>
      </c>
      <c r="N20" s="109"/>
      <c r="O20" s="108"/>
      <c r="P20" s="110">
        <v>90.0</v>
      </c>
      <c r="Q20" s="110">
        <v>95.0</v>
      </c>
      <c r="R20" s="110"/>
      <c r="S20" s="110"/>
      <c r="T20" s="110">
        <v>60.0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ht="34.5" customHeight="1">
      <c r="A21" s="102">
        <v>2.0</v>
      </c>
      <c r="B21" s="103" t="str">
        <f>Prelim!$B21</f>
        <v>BBBBB</v>
      </c>
      <c r="C21" s="104">
        <v>15.0</v>
      </c>
      <c r="D21" s="105">
        <v>30.0</v>
      </c>
      <c r="E21" s="104">
        <v>32.0</v>
      </c>
      <c r="F21" s="106">
        <v>21.0</v>
      </c>
      <c r="G21" s="104"/>
      <c r="H21" s="106"/>
      <c r="I21" s="107"/>
      <c r="J21" s="106"/>
      <c r="K21" s="106"/>
      <c r="L21" s="108"/>
      <c r="M21" s="104"/>
      <c r="N21" s="109"/>
      <c r="O21" s="108"/>
      <c r="P21" s="110"/>
      <c r="Q21" s="110"/>
      <c r="R21" s="110"/>
      <c r="S21" s="110"/>
      <c r="T21" s="110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12"/>
    </row>
    <row r="22" ht="34.5" customHeight="1">
      <c r="A22" s="102">
        <v>3.0</v>
      </c>
      <c r="B22" s="103" t="str">
        <f>Prelim!$B22</f>
        <v>**** NONE FOLLOWS**</v>
      </c>
      <c r="C22" s="104"/>
      <c r="D22" s="105"/>
      <c r="E22" s="104"/>
      <c r="F22" s="106"/>
      <c r="G22" s="104"/>
      <c r="H22" s="106"/>
      <c r="I22" s="107"/>
      <c r="J22" s="106"/>
      <c r="K22" s="106"/>
      <c r="L22" s="108"/>
      <c r="M22" s="104"/>
      <c r="N22" s="109"/>
      <c r="O22" s="108"/>
      <c r="P22" s="110"/>
      <c r="Q22" s="110"/>
      <c r="R22" s="110"/>
      <c r="S22" s="110"/>
      <c r="T22" s="110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12"/>
    </row>
    <row r="23" ht="34.5" customHeight="1">
      <c r="A23" s="102">
        <v>4.0</v>
      </c>
      <c r="B23" s="103" t="str">
        <f>Prelim!$B23</f>
        <v/>
      </c>
      <c r="C23" s="104"/>
      <c r="D23" s="105"/>
      <c r="E23" s="104"/>
      <c r="F23" s="106"/>
      <c r="G23" s="104"/>
      <c r="H23" s="106"/>
      <c r="I23" s="107"/>
      <c r="J23" s="106"/>
      <c r="K23" s="106"/>
      <c r="L23" s="108"/>
      <c r="M23" s="104"/>
      <c r="N23" s="109"/>
      <c r="O23" s="108"/>
      <c r="P23" s="110"/>
      <c r="Q23" s="110"/>
      <c r="R23" s="110"/>
      <c r="S23" s="110"/>
      <c r="T23" s="110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12"/>
    </row>
    <row r="24" ht="34.5" customHeight="1">
      <c r="A24" s="102">
        <v>5.0</v>
      </c>
      <c r="B24" s="103" t="str">
        <f>Prelim!$B24</f>
        <v/>
      </c>
      <c r="C24" s="104"/>
      <c r="D24" s="105"/>
      <c r="E24" s="104"/>
      <c r="F24" s="106"/>
      <c r="G24" s="104"/>
      <c r="H24" s="106"/>
      <c r="I24" s="107"/>
      <c r="J24" s="106"/>
      <c r="K24" s="106"/>
      <c r="L24" s="108"/>
      <c r="M24" s="104"/>
      <c r="N24" s="109"/>
      <c r="O24" s="108"/>
      <c r="P24" s="110"/>
      <c r="Q24" s="110"/>
      <c r="R24" s="110"/>
      <c r="S24" s="110"/>
      <c r="T24" s="110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Z24" s="112"/>
    </row>
    <row r="25" ht="34.5" customHeight="1">
      <c r="A25" s="102">
        <v>6.0</v>
      </c>
      <c r="B25" s="103" t="str">
        <f>Prelim!$B25</f>
        <v/>
      </c>
      <c r="C25" s="104"/>
      <c r="D25" s="105"/>
      <c r="E25" s="104"/>
      <c r="F25" s="106"/>
      <c r="G25" s="104"/>
      <c r="H25" s="106"/>
      <c r="I25" s="107"/>
      <c r="J25" s="106"/>
      <c r="K25" s="106"/>
      <c r="L25" s="108"/>
      <c r="M25" s="104"/>
      <c r="N25" s="109"/>
      <c r="O25" s="108"/>
      <c r="P25" s="110"/>
      <c r="Q25" s="110"/>
      <c r="R25" s="110"/>
      <c r="S25" s="110"/>
      <c r="T25" s="110"/>
      <c r="AZ25" s="112"/>
    </row>
    <row r="26" ht="34.5" customHeight="1">
      <c r="A26" s="102">
        <v>7.0</v>
      </c>
      <c r="B26" s="103" t="str">
        <f>Prelim!$B26</f>
        <v/>
      </c>
      <c r="C26" s="104"/>
      <c r="D26" s="105"/>
      <c r="E26" s="104"/>
      <c r="F26" s="106"/>
      <c r="G26" s="104"/>
      <c r="H26" s="106"/>
      <c r="I26" s="107"/>
      <c r="J26" s="106"/>
      <c r="K26" s="106"/>
      <c r="L26" s="108"/>
      <c r="M26" s="104"/>
      <c r="N26" s="109"/>
      <c r="O26" s="108"/>
      <c r="P26" s="110"/>
      <c r="Q26" s="110"/>
      <c r="R26" s="110"/>
      <c r="S26" s="110"/>
      <c r="T26" s="110"/>
      <c r="AV26" s="112"/>
      <c r="AW26" s="112"/>
      <c r="AZ26" s="112"/>
    </row>
    <row r="27" ht="34.5" customHeight="1">
      <c r="A27" s="102">
        <v>8.0</v>
      </c>
      <c r="B27" s="103" t="str">
        <f>Prelim!$B27</f>
        <v/>
      </c>
      <c r="C27" s="104"/>
      <c r="D27" s="105"/>
      <c r="E27" s="104"/>
      <c r="F27" s="106"/>
      <c r="G27" s="104"/>
      <c r="H27" s="106"/>
      <c r="I27" s="107"/>
      <c r="J27" s="106"/>
      <c r="K27" s="106"/>
      <c r="L27" s="108"/>
      <c r="M27" s="104"/>
      <c r="N27" s="109"/>
      <c r="O27" s="108"/>
      <c r="P27" s="110"/>
      <c r="Q27" s="110"/>
      <c r="R27" s="110"/>
      <c r="S27" s="110"/>
      <c r="T27" s="110"/>
      <c r="U27" s="112"/>
      <c r="V27" s="112"/>
      <c r="W27" s="112"/>
      <c r="X27" s="112"/>
      <c r="Y27" s="112"/>
      <c r="Z27" s="112"/>
      <c r="AA27" s="112"/>
      <c r="AB27" s="112"/>
      <c r="AC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V27" s="112"/>
      <c r="AW27" s="112"/>
      <c r="AZ27" s="112"/>
    </row>
    <row r="28" ht="34.5" customHeight="1">
      <c r="A28" s="102">
        <v>9.0</v>
      </c>
      <c r="B28" s="103" t="str">
        <f>Prelim!$B28</f>
        <v/>
      </c>
      <c r="C28" s="104"/>
      <c r="D28" s="105"/>
      <c r="E28" s="104"/>
      <c r="F28" s="106"/>
      <c r="G28" s="104"/>
      <c r="H28" s="106"/>
      <c r="I28" s="107"/>
      <c r="J28" s="106"/>
      <c r="K28" s="106"/>
      <c r="L28" s="108"/>
      <c r="M28" s="104"/>
      <c r="N28" s="109"/>
      <c r="O28" s="108"/>
      <c r="P28" s="110"/>
      <c r="Q28" s="110"/>
      <c r="R28" s="110"/>
      <c r="S28" s="110"/>
      <c r="T28" s="110"/>
      <c r="U28" s="112"/>
      <c r="V28" s="112"/>
      <c r="W28" s="112"/>
      <c r="X28" s="112"/>
      <c r="Y28" s="112"/>
      <c r="Z28" s="112"/>
      <c r="AA28" s="112"/>
      <c r="AB28" s="112"/>
      <c r="AC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V28" s="112"/>
      <c r="AW28" s="112"/>
      <c r="AZ28" s="112"/>
    </row>
    <row r="29" ht="34.5" customHeight="1">
      <c r="A29" s="102">
        <v>10.0</v>
      </c>
      <c r="B29" s="103" t="str">
        <f>Prelim!$B29</f>
        <v/>
      </c>
      <c r="C29" s="104"/>
      <c r="D29" s="105"/>
      <c r="E29" s="104"/>
      <c r="F29" s="106"/>
      <c r="G29" s="104"/>
      <c r="H29" s="106"/>
      <c r="I29" s="107"/>
      <c r="J29" s="106"/>
      <c r="K29" s="106"/>
      <c r="L29" s="108"/>
      <c r="M29" s="104"/>
      <c r="N29" s="109"/>
      <c r="O29" s="108"/>
      <c r="P29" s="110"/>
      <c r="Q29" s="110"/>
      <c r="R29" s="110"/>
      <c r="S29" s="110"/>
      <c r="T29" s="110"/>
      <c r="U29" s="112"/>
      <c r="V29" s="112"/>
      <c r="W29" s="112"/>
      <c r="X29" s="112"/>
      <c r="Y29" s="112"/>
      <c r="Z29" s="112"/>
      <c r="AA29" s="112"/>
      <c r="AB29" s="112"/>
      <c r="AC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V29" s="112"/>
      <c r="AW29" s="112"/>
      <c r="AZ29" s="112"/>
    </row>
    <row r="30" ht="34.5" customHeight="1">
      <c r="A30" s="102">
        <v>11.0</v>
      </c>
      <c r="B30" s="103" t="str">
        <f>Prelim!$B30</f>
        <v/>
      </c>
      <c r="C30" s="104"/>
      <c r="D30" s="105"/>
      <c r="E30" s="104"/>
      <c r="F30" s="106"/>
      <c r="G30" s="104"/>
      <c r="H30" s="106"/>
      <c r="I30" s="107"/>
      <c r="J30" s="106"/>
      <c r="K30" s="106"/>
      <c r="L30" s="108"/>
      <c r="M30" s="104"/>
      <c r="N30" s="109"/>
      <c r="O30" s="108"/>
      <c r="P30" s="110"/>
      <c r="Q30" s="110"/>
      <c r="R30" s="110"/>
      <c r="S30" s="110"/>
      <c r="T30" s="110"/>
      <c r="U30" s="112"/>
      <c r="V30" s="112"/>
      <c r="W30" s="112"/>
      <c r="X30" s="112"/>
      <c r="Y30" s="112"/>
      <c r="Z30" s="112"/>
      <c r="AA30" s="112"/>
      <c r="AB30" s="112"/>
      <c r="AC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V30" s="112"/>
      <c r="AW30" s="112"/>
      <c r="AZ30" s="112"/>
    </row>
    <row r="31" ht="34.5" customHeight="1">
      <c r="A31" s="102">
        <v>12.0</v>
      </c>
      <c r="B31" s="103" t="str">
        <f>Prelim!$B31</f>
        <v/>
      </c>
      <c r="C31" s="104"/>
      <c r="D31" s="105"/>
      <c r="E31" s="104"/>
      <c r="F31" s="106"/>
      <c r="G31" s="104"/>
      <c r="H31" s="106"/>
      <c r="I31" s="107"/>
      <c r="J31" s="106"/>
      <c r="K31" s="106"/>
      <c r="L31" s="108"/>
      <c r="M31" s="104"/>
      <c r="N31" s="109"/>
      <c r="O31" s="108"/>
      <c r="P31" s="110"/>
      <c r="Q31" s="110"/>
      <c r="R31" s="110"/>
      <c r="S31" s="110"/>
      <c r="T31" s="110"/>
      <c r="U31" s="112"/>
      <c r="V31" s="112"/>
      <c r="W31" s="112"/>
      <c r="X31" s="112"/>
      <c r="Y31" s="112"/>
      <c r="Z31" s="112"/>
      <c r="AA31" s="112"/>
      <c r="AB31" s="112"/>
      <c r="AC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V31" s="112"/>
      <c r="AW31" s="112"/>
      <c r="AZ31" s="112"/>
    </row>
    <row r="32" ht="34.5" customHeight="1">
      <c r="A32" s="102">
        <v>13.0</v>
      </c>
      <c r="B32" s="103" t="str">
        <f>Prelim!$B32</f>
        <v/>
      </c>
      <c r="C32" s="104"/>
      <c r="D32" s="105"/>
      <c r="E32" s="104"/>
      <c r="F32" s="106"/>
      <c r="G32" s="104"/>
      <c r="H32" s="106"/>
      <c r="I32" s="107"/>
      <c r="J32" s="106"/>
      <c r="K32" s="106"/>
      <c r="L32" s="108"/>
      <c r="M32" s="104"/>
      <c r="N32" s="109"/>
      <c r="O32" s="108"/>
      <c r="P32" s="110"/>
      <c r="Q32" s="110"/>
      <c r="R32" s="110"/>
      <c r="S32" s="110"/>
      <c r="T32" s="110"/>
      <c r="U32" s="112"/>
      <c r="V32" s="112"/>
      <c r="W32" s="112"/>
      <c r="X32" s="112"/>
      <c r="Y32" s="112"/>
      <c r="Z32" s="112"/>
      <c r="AA32" s="112"/>
      <c r="AB32" s="112"/>
      <c r="AC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V32" s="112"/>
      <c r="AW32" s="112"/>
      <c r="AZ32" s="112"/>
    </row>
    <row r="33" ht="34.5" customHeight="1">
      <c r="A33" s="102">
        <v>14.0</v>
      </c>
      <c r="B33" s="103" t="str">
        <f>Prelim!$B33</f>
        <v/>
      </c>
      <c r="C33" s="104"/>
      <c r="D33" s="105"/>
      <c r="E33" s="104"/>
      <c r="F33" s="106"/>
      <c r="G33" s="104"/>
      <c r="H33" s="106"/>
      <c r="I33" s="107"/>
      <c r="J33" s="106"/>
      <c r="K33" s="106"/>
      <c r="L33" s="108"/>
      <c r="M33" s="104"/>
      <c r="N33" s="109"/>
      <c r="O33" s="108"/>
      <c r="P33" s="110"/>
      <c r="Q33" s="110"/>
      <c r="R33" s="110"/>
      <c r="S33" s="110"/>
      <c r="T33" s="110"/>
      <c r="U33" s="112"/>
      <c r="V33" s="112"/>
      <c r="W33" s="112"/>
      <c r="X33" s="112"/>
      <c r="Y33" s="112"/>
      <c r="Z33" s="112"/>
      <c r="AA33" s="112"/>
      <c r="AB33" s="112"/>
      <c r="AC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V33" s="112"/>
      <c r="AW33" s="112"/>
      <c r="AZ33" s="112"/>
    </row>
    <row r="34" ht="34.5" customHeight="1">
      <c r="A34" s="102">
        <v>15.0</v>
      </c>
      <c r="B34" s="103" t="str">
        <f>Prelim!$B34</f>
        <v/>
      </c>
      <c r="C34" s="104"/>
      <c r="D34" s="105"/>
      <c r="E34" s="104"/>
      <c r="F34" s="106"/>
      <c r="G34" s="104"/>
      <c r="H34" s="106"/>
      <c r="I34" s="107"/>
      <c r="J34" s="106"/>
      <c r="K34" s="106"/>
      <c r="L34" s="108"/>
      <c r="M34" s="104"/>
      <c r="N34" s="109"/>
      <c r="O34" s="108"/>
      <c r="P34" s="110"/>
      <c r="Q34" s="110"/>
      <c r="R34" s="110"/>
      <c r="S34" s="110"/>
      <c r="T34" s="110"/>
      <c r="U34" s="112"/>
      <c r="V34" s="112"/>
      <c r="W34" s="112"/>
      <c r="X34" s="112"/>
      <c r="Y34" s="112"/>
      <c r="Z34" s="112"/>
      <c r="AA34" s="112"/>
      <c r="AB34" s="112"/>
      <c r="AC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V34" s="112"/>
      <c r="AW34" s="112"/>
      <c r="AZ34" s="112"/>
    </row>
    <row r="35" ht="34.5" customHeight="1">
      <c r="A35" s="102">
        <v>16.0</v>
      </c>
      <c r="B35" s="103" t="str">
        <f>Prelim!$B35</f>
        <v/>
      </c>
      <c r="C35" s="104"/>
      <c r="D35" s="105"/>
      <c r="E35" s="104"/>
      <c r="F35" s="106"/>
      <c r="G35" s="104"/>
      <c r="H35" s="106"/>
      <c r="I35" s="107"/>
      <c r="J35" s="106"/>
      <c r="K35" s="106"/>
      <c r="L35" s="108"/>
      <c r="M35" s="104"/>
      <c r="N35" s="109"/>
      <c r="O35" s="108"/>
      <c r="P35" s="110"/>
      <c r="Q35" s="110"/>
      <c r="R35" s="110"/>
      <c r="S35" s="110"/>
      <c r="T35" s="110"/>
      <c r="U35" s="112"/>
      <c r="V35" s="112"/>
      <c r="W35" s="112"/>
      <c r="X35" s="112"/>
      <c r="Y35" s="112"/>
      <c r="Z35" s="112"/>
      <c r="AA35" s="112"/>
      <c r="AB35" s="112"/>
      <c r="AC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V35" s="112"/>
      <c r="AW35" s="112"/>
      <c r="AZ35" s="112"/>
    </row>
    <row r="36" ht="34.5" customHeight="1">
      <c r="A36" s="102">
        <v>17.0</v>
      </c>
      <c r="B36" s="103" t="str">
        <f>Prelim!$B36</f>
        <v/>
      </c>
      <c r="C36" s="104"/>
      <c r="D36" s="105"/>
      <c r="E36" s="104"/>
      <c r="F36" s="106"/>
      <c r="G36" s="104"/>
      <c r="H36" s="106"/>
      <c r="I36" s="107"/>
      <c r="J36" s="106"/>
      <c r="K36" s="106"/>
      <c r="L36" s="108"/>
      <c r="M36" s="104"/>
      <c r="N36" s="109"/>
      <c r="O36" s="108"/>
      <c r="P36" s="110"/>
      <c r="Q36" s="110"/>
      <c r="R36" s="110"/>
      <c r="S36" s="110"/>
      <c r="T36" s="110"/>
      <c r="U36" s="112"/>
      <c r="V36" s="112"/>
      <c r="W36" s="112"/>
      <c r="X36" s="112"/>
      <c r="Y36" s="112"/>
      <c r="Z36" s="112"/>
      <c r="AA36" s="112"/>
      <c r="AB36" s="112"/>
      <c r="AC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V36" s="112"/>
      <c r="AW36" s="112"/>
      <c r="AZ36" s="112"/>
    </row>
    <row r="37" ht="34.5" customHeight="1">
      <c r="A37" s="102">
        <v>18.0</v>
      </c>
      <c r="B37" s="103" t="str">
        <f>Prelim!$B37</f>
        <v/>
      </c>
      <c r="C37" s="104"/>
      <c r="D37" s="105"/>
      <c r="E37" s="104"/>
      <c r="F37" s="106"/>
      <c r="G37" s="104"/>
      <c r="H37" s="106"/>
      <c r="I37" s="107"/>
      <c r="J37" s="106"/>
      <c r="K37" s="106"/>
      <c r="L37" s="108"/>
      <c r="M37" s="104"/>
      <c r="N37" s="109"/>
      <c r="O37" s="108"/>
      <c r="P37" s="110"/>
      <c r="Q37" s="110"/>
      <c r="R37" s="110"/>
      <c r="S37" s="110"/>
      <c r="T37" s="110"/>
      <c r="U37" s="112"/>
      <c r="V37" s="112"/>
      <c r="W37" s="112"/>
      <c r="X37" s="112"/>
      <c r="Y37" s="112"/>
      <c r="Z37" s="112"/>
      <c r="AA37" s="112"/>
      <c r="AB37" s="112"/>
      <c r="AC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V37" s="112"/>
      <c r="AW37" s="112"/>
      <c r="AZ37" s="112"/>
    </row>
    <row r="38" ht="34.5" customHeight="1">
      <c r="A38" s="102">
        <v>19.0</v>
      </c>
      <c r="B38" s="103" t="str">
        <f>Prelim!$B38</f>
        <v/>
      </c>
      <c r="C38" s="104"/>
      <c r="D38" s="105"/>
      <c r="E38" s="104"/>
      <c r="F38" s="106"/>
      <c r="G38" s="104"/>
      <c r="H38" s="106"/>
      <c r="I38" s="107"/>
      <c r="J38" s="106"/>
      <c r="K38" s="106"/>
      <c r="L38" s="108"/>
      <c r="M38" s="104"/>
      <c r="N38" s="109"/>
      <c r="O38" s="108"/>
      <c r="P38" s="110"/>
      <c r="Q38" s="110"/>
      <c r="R38" s="110"/>
      <c r="S38" s="110"/>
      <c r="T38" s="110"/>
      <c r="U38" s="112"/>
      <c r="V38" s="112"/>
      <c r="W38" s="112"/>
      <c r="X38" s="112"/>
      <c r="Y38" s="112"/>
      <c r="Z38" s="112"/>
      <c r="AA38" s="112"/>
      <c r="AB38" s="112"/>
      <c r="AC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V38" s="112"/>
      <c r="AW38" s="112"/>
      <c r="AZ38" s="112"/>
    </row>
    <row r="39" ht="34.5" customHeight="1">
      <c r="A39" s="102">
        <v>20.0</v>
      </c>
      <c r="B39" s="103" t="str">
        <f>Prelim!$B39</f>
        <v/>
      </c>
      <c r="C39" s="104"/>
      <c r="D39" s="105"/>
      <c r="E39" s="104"/>
      <c r="F39" s="106"/>
      <c r="G39" s="104"/>
      <c r="H39" s="106"/>
      <c r="I39" s="107"/>
      <c r="J39" s="106"/>
      <c r="K39" s="106"/>
      <c r="L39" s="108"/>
      <c r="M39" s="104"/>
      <c r="N39" s="109"/>
      <c r="O39" s="108"/>
      <c r="P39" s="110"/>
      <c r="Q39" s="110"/>
      <c r="R39" s="110"/>
      <c r="S39" s="110"/>
      <c r="T39" s="110"/>
      <c r="U39" s="112"/>
      <c r="V39" s="112"/>
      <c r="W39" s="112"/>
      <c r="X39" s="112"/>
      <c r="Y39" s="112"/>
      <c r="Z39" s="112"/>
      <c r="AA39" s="112"/>
      <c r="AB39" s="112"/>
      <c r="AC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V39" s="112"/>
      <c r="AW39" s="112"/>
      <c r="AZ39" s="112"/>
    </row>
    <row r="40" ht="34.5" customHeight="1">
      <c r="A40" s="102">
        <v>21.0</v>
      </c>
      <c r="B40" s="103" t="str">
        <f>Prelim!$B40</f>
        <v/>
      </c>
      <c r="C40" s="104"/>
      <c r="D40" s="105"/>
      <c r="E40" s="104"/>
      <c r="F40" s="106"/>
      <c r="G40" s="104"/>
      <c r="H40" s="106"/>
      <c r="I40" s="107"/>
      <c r="J40" s="106"/>
      <c r="K40" s="106"/>
      <c r="L40" s="108"/>
      <c r="M40" s="104"/>
      <c r="N40" s="109"/>
      <c r="O40" s="108"/>
      <c r="P40" s="110"/>
      <c r="Q40" s="110"/>
      <c r="R40" s="110"/>
      <c r="S40" s="110"/>
      <c r="T40" s="110"/>
      <c r="U40" s="112"/>
      <c r="V40" s="112"/>
      <c r="W40" s="112"/>
      <c r="X40" s="112"/>
      <c r="Y40" s="112"/>
      <c r="Z40" s="112"/>
      <c r="AA40" s="112"/>
      <c r="AB40" s="112"/>
      <c r="AC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V40" s="112"/>
      <c r="AW40" s="112"/>
      <c r="AZ40" s="112"/>
    </row>
    <row r="41" ht="34.5" customHeight="1">
      <c r="A41" s="102">
        <v>22.0</v>
      </c>
      <c r="B41" s="103" t="str">
        <f>Prelim!$B41</f>
        <v/>
      </c>
      <c r="C41" s="104"/>
      <c r="D41" s="105"/>
      <c r="E41" s="104"/>
      <c r="F41" s="106"/>
      <c r="G41" s="104"/>
      <c r="H41" s="106"/>
      <c r="I41" s="107"/>
      <c r="J41" s="106"/>
      <c r="K41" s="106"/>
      <c r="L41" s="108"/>
      <c r="M41" s="104"/>
      <c r="N41" s="109"/>
      <c r="O41" s="108"/>
      <c r="P41" s="110"/>
      <c r="Q41" s="110"/>
      <c r="R41" s="110"/>
      <c r="S41" s="110"/>
      <c r="T41" s="110"/>
      <c r="U41" s="112"/>
      <c r="V41" s="112"/>
      <c r="W41" s="112"/>
      <c r="X41" s="112"/>
      <c r="Y41" s="112"/>
      <c r="Z41" s="112"/>
      <c r="AA41" s="112"/>
      <c r="AB41" s="112"/>
      <c r="AC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V41" s="112"/>
      <c r="AW41" s="112"/>
      <c r="AZ41" s="112"/>
    </row>
    <row r="42" ht="34.5" customHeight="1">
      <c r="A42" s="102">
        <v>23.0</v>
      </c>
      <c r="B42" s="103" t="str">
        <f>Prelim!$B42</f>
        <v/>
      </c>
      <c r="C42" s="104"/>
      <c r="D42" s="105"/>
      <c r="E42" s="104"/>
      <c r="F42" s="106"/>
      <c r="G42" s="104"/>
      <c r="H42" s="106"/>
      <c r="I42" s="107"/>
      <c r="J42" s="106"/>
      <c r="K42" s="106"/>
      <c r="L42" s="108"/>
      <c r="M42" s="104"/>
      <c r="N42" s="109"/>
      <c r="O42" s="108"/>
      <c r="P42" s="110"/>
      <c r="Q42" s="110"/>
      <c r="R42" s="110"/>
      <c r="S42" s="110"/>
      <c r="T42" s="110"/>
      <c r="U42" s="112"/>
      <c r="V42" s="112"/>
      <c r="W42" s="112"/>
      <c r="X42" s="112"/>
      <c r="Y42" s="112"/>
      <c r="Z42" s="112"/>
      <c r="AA42" s="112"/>
      <c r="AB42" s="112"/>
      <c r="AC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V42" s="112"/>
      <c r="AW42" s="112"/>
      <c r="AZ42" s="112"/>
    </row>
    <row r="43" ht="34.5" customHeight="1">
      <c r="A43" s="102">
        <v>24.0</v>
      </c>
      <c r="B43" s="103" t="str">
        <f>Prelim!$B43</f>
        <v/>
      </c>
      <c r="C43" s="104"/>
      <c r="D43" s="105"/>
      <c r="E43" s="104"/>
      <c r="F43" s="106"/>
      <c r="G43" s="104"/>
      <c r="H43" s="106"/>
      <c r="I43" s="107"/>
      <c r="J43" s="106"/>
      <c r="K43" s="106"/>
      <c r="L43" s="108"/>
      <c r="M43" s="104"/>
      <c r="N43" s="109"/>
      <c r="O43" s="108"/>
      <c r="P43" s="110"/>
      <c r="Q43" s="110"/>
      <c r="R43" s="110"/>
      <c r="S43" s="110"/>
      <c r="T43" s="110"/>
      <c r="U43" s="112"/>
      <c r="V43" s="112"/>
      <c r="W43" s="112"/>
      <c r="X43" s="112"/>
      <c r="Y43" s="112"/>
      <c r="Z43" s="112"/>
      <c r="AA43" s="112"/>
      <c r="AB43" s="112"/>
      <c r="AC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V43" s="112"/>
      <c r="AW43" s="112"/>
      <c r="AZ43" s="112"/>
    </row>
    <row r="44" ht="34.5" customHeight="1">
      <c r="A44" s="102">
        <v>25.0</v>
      </c>
      <c r="B44" s="103" t="str">
        <f>Prelim!$B44</f>
        <v/>
      </c>
      <c r="C44" s="104"/>
      <c r="D44" s="105"/>
      <c r="E44" s="104"/>
      <c r="F44" s="106"/>
      <c r="G44" s="104"/>
      <c r="H44" s="106"/>
      <c r="I44" s="107"/>
      <c r="J44" s="106"/>
      <c r="K44" s="106"/>
      <c r="L44" s="108"/>
      <c r="M44" s="104"/>
      <c r="N44" s="109"/>
      <c r="O44" s="108"/>
      <c r="P44" s="110"/>
      <c r="Q44" s="110"/>
      <c r="R44" s="110"/>
      <c r="S44" s="110"/>
      <c r="T44" s="110"/>
      <c r="U44" s="112"/>
      <c r="V44" s="112"/>
      <c r="W44" s="112"/>
      <c r="X44" s="112"/>
      <c r="Y44" s="112"/>
      <c r="Z44" s="112"/>
      <c r="AA44" s="112"/>
      <c r="AB44" s="112"/>
      <c r="AC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V44" s="112"/>
      <c r="AW44" s="112"/>
      <c r="AZ44" s="112"/>
    </row>
    <row r="45" ht="34.5" customHeight="1">
      <c r="A45" s="102">
        <v>26.0</v>
      </c>
      <c r="B45" s="103" t="str">
        <f>Prelim!$B45</f>
        <v/>
      </c>
      <c r="C45" s="104"/>
      <c r="D45" s="105"/>
      <c r="E45" s="104"/>
      <c r="F45" s="106"/>
      <c r="G45" s="104"/>
      <c r="H45" s="106"/>
      <c r="I45" s="107"/>
      <c r="J45" s="106"/>
      <c r="K45" s="106"/>
      <c r="L45" s="108"/>
      <c r="M45" s="104"/>
      <c r="N45" s="109"/>
      <c r="O45" s="108"/>
      <c r="P45" s="110"/>
      <c r="Q45" s="110"/>
      <c r="R45" s="110"/>
      <c r="S45" s="110"/>
      <c r="T45" s="110"/>
      <c r="U45" s="112"/>
      <c r="V45" s="112"/>
      <c r="W45" s="112"/>
      <c r="X45" s="112"/>
      <c r="Y45" s="112"/>
      <c r="Z45" s="112"/>
      <c r="AA45" s="112"/>
      <c r="AB45" s="112"/>
      <c r="AC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V45" s="112"/>
      <c r="AW45" s="112"/>
      <c r="AZ45" s="112"/>
    </row>
    <row r="46" ht="34.5" customHeight="1">
      <c r="A46" s="102">
        <v>27.0</v>
      </c>
      <c r="B46" s="103" t="str">
        <f>Prelim!$B46</f>
        <v/>
      </c>
      <c r="C46" s="104"/>
      <c r="D46" s="105"/>
      <c r="E46" s="104"/>
      <c r="F46" s="106"/>
      <c r="G46" s="104"/>
      <c r="H46" s="106"/>
      <c r="I46" s="107"/>
      <c r="J46" s="106"/>
      <c r="K46" s="106"/>
      <c r="L46" s="108"/>
      <c r="M46" s="104"/>
      <c r="N46" s="109"/>
      <c r="O46" s="108"/>
      <c r="P46" s="110"/>
      <c r="Q46" s="110"/>
      <c r="R46" s="110"/>
      <c r="S46" s="110"/>
      <c r="T46" s="110"/>
      <c r="U46" s="112"/>
      <c r="V46" s="112"/>
      <c r="W46" s="112"/>
      <c r="X46" s="112"/>
      <c r="Y46" s="112"/>
      <c r="Z46" s="112"/>
      <c r="AA46" s="112"/>
      <c r="AB46" s="112"/>
      <c r="AC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V46" s="112"/>
      <c r="AW46" s="112"/>
      <c r="AZ46" s="112"/>
    </row>
    <row r="47" ht="34.5" customHeight="1">
      <c r="A47" s="102">
        <v>28.0</v>
      </c>
      <c r="B47" s="103" t="str">
        <f>Prelim!$B47</f>
        <v/>
      </c>
      <c r="C47" s="104"/>
      <c r="D47" s="105"/>
      <c r="E47" s="104"/>
      <c r="F47" s="106"/>
      <c r="G47" s="104"/>
      <c r="H47" s="106"/>
      <c r="I47" s="107"/>
      <c r="J47" s="106"/>
      <c r="K47" s="106"/>
      <c r="L47" s="108"/>
      <c r="M47" s="104"/>
      <c r="N47" s="109"/>
      <c r="O47" s="108"/>
      <c r="P47" s="110"/>
      <c r="Q47" s="110"/>
      <c r="R47" s="110"/>
      <c r="S47" s="110"/>
      <c r="T47" s="110"/>
      <c r="U47" s="112"/>
      <c r="V47" s="112"/>
      <c r="W47" s="112"/>
      <c r="X47" s="112"/>
      <c r="Y47" s="112"/>
      <c r="Z47" s="112"/>
      <c r="AA47" s="112"/>
      <c r="AB47" s="112"/>
      <c r="AC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V47" s="112"/>
      <c r="AW47" s="112"/>
      <c r="AZ47" s="112"/>
    </row>
    <row r="48" ht="34.5" customHeight="1">
      <c r="A48" s="102">
        <v>29.0</v>
      </c>
      <c r="B48" s="103" t="str">
        <f>Prelim!$B48</f>
        <v/>
      </c>
      <c r="C48" s="104"/>
      <c r="D48" s="105"/>
      <c r="E48" s="104"/>
      <c r="F48" s="106"/>
      <c r="G48" s="104"/>
      <c r="H48" s="106"/>
      <c r="I48" s="107"/>
      <c r="J48" s="106"/>
      <c r="K48" s="106"/>
      <c r="L48" s="108"/>
      <c r="M48" s="104"/>
      <c r="N48" s="109"/>
      <c r="O48" s="108"/>
      <c r="P48" s="110"/>
      <c r="Q48" s="110"/>
      <c r="R48" s="110"/>
      <c r="S48" s="110"/>
      <c r="T48" s="110"/>
      <c r="U48" s="112"/>
      <c r="V48" s="112"/>
      <c r="W48" s="112"/>
      <c r="X48" s="112"/>
      <c r="Y48" s="112"/>
      <c r="Z48" s="112"/>
      <c r="AA48" s="112"/>
      <c r="AB48" s="112"/>
      <c r="AC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V48" s="112"/>
      <c r="AW48" s="112"/>
      <c r="AZ48" s="112"/>
    </row>
    <row r="49" ht="34.5" customHeight="1">
      <c r="A49" s="102">
        <v>30.0</v>
      </c>
      <c r="B49" s="103" t="str">
        <f>Prelim!$B49</f>
        <v/>
      </c>
      <c r="C49" s="104"/>
      <c r="D49" s="105"/>
      <c r="E49" s="104"/>
      <c r="F49" s="106"/>
      <c r="G49" s="104"/>
      <c r="H49" s="106"/>
      <c r="I49" s="107"/>
      <c r="J49" s="106"/>
      <c r="K49" s="106"/>
      <c r="L49" s="108"/>
      <c r="M49" s="104"/>
      <c r="N49" s="109"/>
      <c r="O49" s="108"/>
      <c r="P49" s="110"/>
      <c r="Q49" s="110"/>
      <c r="R49" s="110"/>
      <c r="S49" s="110"/>
      <c r="T49" s="110"/>
      <c r="U49" s="112"/>
      <c r="V49" s="112"/>
      <c r="W49" s="112"/>
      <c r="X49" s="112"/>
      <c r="Y49" s="112"/>
      <c r="Z49" s="112"/>
      <c r="AA49" s="112"/>
      <c r="AB49" s="112"/>
      <c r="AC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V49" s="112"/>
      <c r="AW49" s="112"/>
      <c r="AZ49" s="112"/>
    </row>
    <row r="50" ht="34.5" customHeight="1">
      <c r="A50" s="102">
        <v>31.0</v>
      </c>
      <c r="B50" s="103" t="str">
        <f>Prelim!$B50</f>
        <v/>
      </c>
      <c r="C50" s="104"/>
      <c r="D50" s="105"/>
      <c r="E50" s="104"/>
      <c r="F50" s="106"/>
      <c r="G50" s="104"/>
      <c r="H50" s="106"/>
      <c r="I50" s="107"/>
      <c r="J50" s="106"/>
      <c r="K50" s="106"/>
      <c r="L50" s="108"/>
      <c r="M50" s="104"/>
      <c r="N50" s="109"/>
      <c r="O50" s="108"/>
      <c r="P50" s="110"/>
      <c r="Q50" s="110"/>
      <c r="R50" s="110"/>
      <c r="S50" s="110"/>
      <c r="T50" s="110"/>
      <c r="U50" s="112"/>
      <c r="V50" s="112"/>
      <c r="W50" s="112"/>
      <c r="X50" s="112"/>
      <c r="Y50" s="112"/>
      <c r="Z50" s="112"/>
      <c r="AA50" s="112"/>
      <c r="AB50" s="112"/>
      <c r="AC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V50" s="112"/>
      <c r="AW50" s="112"/>
      <c r="AZ50" s="112"/>
    </row>
    <row r="51" ht="34.5" customHeight="1">
      <c r="A51" s="102">
        <v>32.0</v>
      </c>
      <c r="B51" s="103" t="str">
        <f>Prelim!$B51</f>
        <v/>
      </c>
      <c r="C51" s="104"/>
      <c r="D51" s="105"/>
      <c r="E51" s="104"/>
      <c r="F51" s="106"/>
      <c r="G51" s="104"/>
      <c r="H51" s="106"/>
      <c r="I51" s="107"/>
      <c r="J51" s="106"/>
      <c r="K51" s="106"/>
      <c r="L51" s="108"/>
      <c r="M51" s="104"/>
      <c r="N51" s="109"/>
      <c r="O51" s="108"/>
      <c r="P51" s="110"/>
      <c r="Q51" s="110"/>
      <c r="R51" s="110"/>
      <c r="S51" s="110"/>
      <c r="T51" s="110"/>
      <c r="U51" s="112"/>
      <c r="V51" s="112"/>
      <c r="W51" s="112"/>
      <c r="X51" s="112"/>
      <c r="Y51" s="112"/>
      <c r="Z51" s="112"/>
      <c r="AA51" s="112"/>
      <c r="AB51" s="112"/>
      <c r="AC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V51" s="112"/>
      <c r="AW51" s="112"/>
      <c r="AZ51" s="112"/>
    </row>
    <row r="52" ht="34.5" customHeight="1">
      <c r="A52" s="102">
        <v>33.0</v>
      </c>
      <c r="B52" s="103" t="str">
        <f>Prelim!$B52</f>
        <v/>
      </c>
      <c r="C52" s="104"/>
      <c r="D52" s="105"/>
      <c r="E52" s="104"/>
      <c r="F52" s="106"/>
      <c r="G52" s="104"/>
      <c r="H52" s="106"/>
      <c r="I52" s="107"/>
      <c r="J52" s="106"/>
      <c r="K52" s="106"/>
      <c r="L52" s="108"/>
      <c r="M52" s="104"/>
      <c r="N52" s="109"/>
      <c r="O52" s="108"/>
      <c r="P52" s="110"/>
      <c r="Q52" s="110"/>
      <c r="R52" s="110"/>
      <c r="S52" s="110"/>
      <c r="T52" s="110"/>
      <c r="U52" s="112"/>
      <c r="V52" s="112"/>
      <c r="W52" s="112"/>
      <c r="X52" s="112"/>
      <c r="Y52" s="112"/>
      <c r="Z52" s="112"/>
      <c r="AA52" s="112"/>
      <c r="AB52" s="112"/>
      <c r="AC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V52" s="112"/>
      <c r="AW52" s="112"/>
      <c r="AZ52" s="112"/>
    </row>
    <row r="53" ht="34.5" customHeight="1">
      <c r="A53" s="102">
        <v>34.0</v>
      </c>
      <c r="B53" s="103" t="str">
        <f>Prelim!$B53</f>
        <v/>
      </c>
      <c r="C53" s="104"/>
      <c r="D53" s="105"/>
      <c r="E53" s="104"/>
      <c r="F53" s="106"/>
      <c r="G53" s="104"/>
      <c r="H53" s="106"/>
      <c r="I53" s="107"/>
      <c r="J53" s="106"/>
      <c r="K53" s="106"/>
      <c r="L53" s="108"/>
      <c r="M53" s="104"/>
      <c r="N53" s="109"/>
      <c r="O53" s="108"/>
      <c r="P53" s="110"/>
      <c r="Q53" s="110"/>
      <c r="R53" s="110"/>
      <c r="S53" s="110"/>
      <c r="T53" s="110"/>
      <c r="U53" s="112"/>
      <c r="V53" s="112"/>
      <c r="W53" s="112"/>
      <c r="X53" s="112"/>
      <c r="Y53" s="112"/>
      <c r="Z53" s="112"/>
      <c r="AA53" s="112"/>
      <c r="AB53" s="112"/>
      <c r="AC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V53" s="112"/>
      <c r="AW53" s="112"/>
      <c r="AZ53" s="112"/>
    </row>
    <row r="54" ht="34.5" customHeight="1">
      <c r="A54" s="102">
        <v>35.0</v>
      </c>
      <c r="B54" s="103" t="str">
        <f>Prelim!$B54</f>
        <v/>
      </c>
      <c r="C54" s="104"/>
      <c r="D54" s="105"/>
      <c r="E54" s="104"/>
      <c r="F54" s="106"/>
      <c r="G54" s="104"/>
      <c r="H54" s="106"/>
      <c r="I54" s="107"/>
      <c r="J54" s="106"/>
      <c r="K54" s="106"/>
      <c r="L54" s="108"/>
      <c r="M54" s="104"/>
      <c r="N54" s="109"/>
      <c r="O54" s="108"/>
      <c r="P54" s="110"/>
      <c r="Q54" s="110"/>
      <c r="R54" s="110"/>
      <c r="S54" s="110"/>
      <c r="T54" s="110"/>
      <c r="U54" s="112"/>
      <c r="V54" s="112"/>
      <c r="W54" s="112"/>
      <c r="X54" s="112"/>
      <c r="Y54" s="112"/>
      <c r="Z54" s="112"/>
      <c r="AA54" s="112"/>
      <c r="AB54" s="112"/>
      <c r="AC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V54" s="112"/>
      <c r="AW54" s="112"/>
      <c r="AZ54" s="112"/>
    </row>
    <row r="55" ht="34.5" customHeight="1">
      <c r="A55" s="102">
        <v>36.0</v>
      </c>
      <c r="B55" s="103" t="str">
        <f>Prelim!$B55</f>
        <v/>
      </c>
      <c r="C55" s="104"/>
      <c r="D55" s="105"/>
      <c r="E55" s="104"/>
      <c r="F55" s="106"/>
      <c r="G55" s="104"/>
      <c r="H55" s="106"/>
      <c r="I55" s="107"/>
      <c r="J55" s="106"/>
      <c r="K55" s="106"/>
      <c r="L55" s="108"/>
      <c r="M55" s="104"/>
      <c r="N55" s="109"/>
      <c r="O55" s="108"/>
      <c r="P55" s="110"/>
      <c r="Q55" s="110"/>
      <c r="R55" s="110"/>
      <c r="S55" s="110"/>
      <c r="T55" s="110"/>
      <c r="U55" s="112"/>
      <c r="V55" s="112"/>
      <c r="W55" s="112"/>
      <c r="X55" s="112"/>
      <c r="Y55" s="112"/>
      <c r="Z55" s="112"/>
      <c r="AA55" s="112"/>
      <c r="AB55" s="112"/>
      <c r="AC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V55" s="112"/>
      <c r="AW55" s="112"/>
      <c r="AZ55" s="112"/>
    </row>
    <row r="56" ht="34.5" customHeight="1">
      <c r="A56" s="102">
        <v>37.0</v>
      </c>
      <c r="B56" s="103" t="str">
        <f>Prelim!$B56</f>
        <v/>
      </c>
      <c r="C56" s="104"/>
      <c r="D56" s="105"/>
      <c r="E56" s="104"/>
      <c r="F56" s="106"/>
      <c r="G56" s="104"/>
      <c r="H56" s="106"/>
      <c r="I56" s="107"/>
      <c r="J56" s="106"/>
      <c r="K56" s="106"/>
      <c r="L56" s="108"/>
      <c r="M56" s="104"/>
      <c r="N56" s="109"/>
      <c r="O56" s="108"/>
      <c r="P56" s="110"/>
      <c r="Q56" s="110"/>
      <c r="R56" s="110"/>
      <c r="S56" s="110"/>
      <c r="T56" s="110"/>
      <c r="U56" s="112"/>
      <c r="V56" s="112"/>
      <c r="W56" s="112"/>
      <c r="X56" s="112"/>
      <c r="Y56" s="112"/>
      <c r="Z56" s="112"/>
      <c r="AA56" s="112"/>
      <c r="AB56" s="112"/>
      <c r="AC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V56" s="112"/>
      <c r="AW56" s="112"/>
      <c r="AZ56" s="112"/>
    </row>
    <row r="57" ht="34.5" customHeight="1">
      <c r="A57" s="102">
        <v>38.0</v>
      </c>
      <c r="B57" s="103" t="str">
        <f>Prelim!$B57</f>
        <v/>
      </c>
      <c r="C57" s="104"/>
      <c r="D57" s="105"/>
      <c r="E57" s="104"/>
      <c r="F57" s="106"/>
      <c r="G57" s="104"/>
      <c r="H57" s="106"/>
      <c r="I57" s="107"/>
      <c r="J57" s="106"/>
      <c r="K57" s="106"/>
      <c r="L57" s="108"/>
      <c r="M57" s="104"/>
      <c r="N57" s="109"/>
      <c r="O57" s="108"/>
      <c r="P57" s="110"/>
      <c r="Q57" s="110"/>
      <c r="R57" s="110"/>
      <c r="S57" s="110"/>
      <c r="T57" s="110"/>
      <c r="U57" s="112"/>
      <c r="V57" s="112"/>
      <c r="W57" s="112"/>
      <c r="X57" s="112"/>
      <c r="Y57" s="112"/>
      <c r="Z57" s="112"/>
      <c r="AA57" s="112"/>
      <c r="AB57" s="112"/>
      <c r="AC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V57" s="112"/>
      <c r="AW57" s="112"/>
      <c r="AZ57" s="112"/>
    </row>
    <row r="58" ht="34.5" customHeight="1">
      <c r="A58" s="102">
        <v>39.0</v>
      </c>
      <c r="B58" s="103" t="str">
        <f>Prelim!$B58</f>
        <v/>
      </c>
      <c r="C58" s="104"/>
      <c r="D58" s="105"/>
      <c r="E58" s="104"/>
      <c r="F58" s="106"/>
      <c r="G58" s="104"/>
      <c r="H58" s="106"/>
      <c r="I58" s="107"/>
      <c r="J58" s="106"/>
      <c r="K58" s="106"/>
      <c r="L58" s="108"/>
      <c r="M58" s="104"/>
      <c r="N58" s="109"/>
      <c r="O58" s="108"/>
      <c r="P58" s="110"/>
      <c r="Q58" s="110"/>
      <c r="R58" s="110"/>
      <c r="S58" s="110"/>
      <c r="T58" s="110"/>
      <c r="U58" s="112"/>
      <c r="V58" s="112"/>
      <c r="W58" s="112"/>
      <c r="X58" s="112"/>
      <c r="Y58" s="112"/>
      <c r="Z58" s="112"/>
      <c r="AA58" s="112"/>
      <c r="AB58" s="112"/>
      <c r="AC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V58" s="112"/>
      <c r="AW58" s="112"/>
      <c r="AZ58" s="112"/>
    </row>
    <row r="59" ht="34.5" customHeight="1">
      <c r="A59" s="102">
        <v>40.0</v>
      </c>
      <c r="B59" s="103" t="str">
        <f>Prelim!$B59</f>
        <v/>
      </c>
      <c r="C59" s="104"/>
      <c r="D59" s="105"/>
      <c r="E59" s="104"/>
      <c r="F59" s="106"/>
      <c r="G59" s="104"/>
      <c r="H59" s="106"/>
      <c r="I59" s="107"/>
      <c r="J59" s="106"/>
      <c r="K59" s="106"/>
      <c r="L59" s="108"/>
      <c r="M59" s="104"/>
      <c r="N59" s="109"/>
      <c r="O59" s="108"/>
      <c r="P59" s="110"/>
      <c r="Q59" s="110"/>
      <c r="R59" s="110"/>
      <c r="S59" s="110"/>
      <c r="T59" s="110"/>
      <c r="U59" s="112"/>
      <c r="V59" s="112"/>
      <c r="W59" s="112"/>
      <c r="X59" s="112"/>
      <c r="Y59" s="112"/>
      <c r="Z59" s="112"/>
      <c r="AA59" s="112"/>
      <c r="AB59" s="112"/>
      <c r="AC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V59" s="112"/>
      <c r="AW59" s="112"/>
      <c r="AZ59" s="112"/>
    </row>
    <row r="60" ht="34.5" customHeight="1">
      <c r="A60" s="102">
        <v>41.0</v>
      </c>
      <c r="B60" s="103" t="str">
        <f>Prelim!$B60</f>
        <v/>
      </c>
      <c r="C60" s="104"/>
      <c r="D60" s="105"/>
      <c r="E60" s="104"/>
      <c r="F60" s="106"/>
      <c r="G60" s="104"/>
      <c r="H60" s="106"/>
      <c r="I60" s="107"/>
      <c r="J60" s="106"/>
      <c r="K60" s="106"/>
      <c r="L60" s="108"/>
      <c r="M60" s="104"/>
      <c r="N60" s="109"/>
      <c r="O60" s="108"/>
      <c r="P60" s="110"/>
      <c r="Q60" s="110"/>
      <c r="R60" s="110"/>
      <c r="S60" s="110"/>
      <c r="T60" s="110"/>
      <c r="U60" s="112"/>
      <c r="V60" s="112"/>
      <c r="W60" s="112"/>
      <c r="X60" s="112"/>
      <c r="Y60" s="112"/>
      <c r="Z60" s="112"/>
      <c r="AA60" s="112"/>
      <c r="AB60" s="112"/>
      <c r="AC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V60" s="112"/>
      <c r="AW60" s="112"/>
      <c r="AZ60" s="112"/>
    </row>
    <row r="61" ht="34.5" customHeight="1">
      <c r="A61" s="102">
        <v>42.0</v>
      </c>
      <c r="B61" s="103" t="str">
        <f>Prelim!$B61</f>
        <v/>
      </c>
      <c r="C61" s="104"/>
      <c r="D61" s="105"/>
      <c r="E61" s="104"/>
      <c r="F61" s="106"/>
      <c r="G61" s="104"/>
      <c r="H61" s="106"/>
      <c r="I61" s="107"/>
      <c r="J61" s="106"/>
      <c r="K61" s="106"/>
      <c r="L61" s="108"/>
      <c r="M61" s="104"/>
      <c r="N61" s="109"/>
      <c r="O61" s="108"/>
      <c r="P61" s="110"/>
      <c r="Q61" s="110"/>
      <c r="R61" s="110"/>
      <c r="S61" s="110"/>
      <c r="T61" s="110"/>
      <c r="U61" s="112"/>
      <c r="V61" s="112"/>
      <c r="W61" s="112"/>
      <c r="X61" s="112"/>
      <c r="Y61" s="112"/>
      <c r="Z61" s="112"/>
      <c r="AA61" s="112"/>
      <c r="AB61" s="112"/>
      <c r="AC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V61" s="112"/>
      <c r="AW61" s="112"/>
      <c r="AZ61" s="112"/>
    </row>
    <row r="62" ht="34.5" customHeight="1">
      <c r="A62" s="102">
        <v>43.0</v>
      </c>
      <c r="B62" s="103" t="str">
        <f>Prelim!$B62</f>
        <v/>
      </c>
      <c r="C62" s="104"/>
      <c r="D62" s="105"/>
      <c r="E62" s="104"/>
      <c r="F62" s="106"/>
      <c r="G62" s="104"/>
      <c r="H62" s="106"/>
      <c r="I62" s="107"/>
      <c r="J62" s="106"/>
      <c r="K62" s="106"/>
      <c r="L62" s="108"/>
      <c r="M62" s="104"/>
      <c r="N62" s="109"/>
      <c r="O62" s="108"/>
      <c r="P62" s="110"/>
      <c r="Q62" s="110"/>
      <c r="R62" s="110"/>
      <c r="S62" s="110"/>
      <c r="T62" s="110"/>
      <c r="U62" s="112"/>
      <c r="V62" s="112"/>
      <c r="W62" s="112"/>
      <c r="X62" s="112"/>
      <c r="Y62" s="112"/>
      <c r="Z62" s="112"/>
      <c r="AA62" s="112"/>
      <c r="AB62" s="112"/>
      <c r="AC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V62" s="112"/>
      <c r="AW62" s="112"/>
      <c r="AZ62" s="112"/>
    </row>
    <row r="63" ht="34.5" customHeight="1">
      <c r="A63" s="102">
        <v>44.0</v>
      </c>
      <c r="B63" s="103" t="str">
        <f>Prelim!$B63</f>
        <v/>
      </c>
      <c r="C63" s="104"/>
      <c r="D63" s="105"/>
      <c r="E63" s="104"/>
      <c r="F63" s="106"/>
      <c r="G63" s="104"/>
      <c r="H63" s="106"/>
      <c r="I63" s="107"/>
      <c r="J63" s="106"/>
      <c r="K63" s="106"/>
      <c r="L63" s="108"/>
      <c r="M63" s="104"/>
      <c r="N63" s="109"/>
      <c r="O63" s="108"/>
      <c r="P63" s="110"/>
      <c r="Q63" s="110"/>
      <c r="R63" s="110"/>
      <c r="S63" s="110"/>
      <c r="T63" s="110"/>
      <c r="U63" s="112"/>
      <c r="V63" s="112"/>
      <c r="W63" s="112"/>
      <c r="X63" s="112"/>
      <c r="Y63" s="112"/>
      <c r="Z63" s="112"/>
      <c r="AA63" s="112"/>
      <c r="AB63" s="112"/>
      <c r="AC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V63" s="112"/>
      <c r="AW63" s="112"/>
      <c r="AZ63" s="112"/>
    </row>
    <row r="64" ht="34.5" customHeight="1">
      <c r="A64" s="102">
        <v>45.0</v>
      </c>
      <c r="B64" s="103" t="str">
        <f>Prelim!$B64</f>
        <v/>
      </c>
      <c r="C64" s="104"/>
      <c r="D64" s="105"/>
      <c r="E64" s="104"/>
      <c r="F64" s="106"/>
      <c r="G64" s="104"/>
      <c r="H64" s="106"/>
      <c r="I64" s="107"/>
      <c r="J64" s="106"/>
      <c r="K64" s="106"/>
      <c r="L64" s="108"/>
      <c r="M64" s="104"/>
      <c r="N64" s="109"/>
      <c r="O64" s="108"/>
      <c r="P64" s="110"/>
      <c r="Q64" s="110"/>
      <c r="R64" s="110"/>
      <c r="S64" s="110"/>
      <c r="T64" s="110"/>
      <c r="U64" s="112"/>
      <c r="V64" s="112"/>
      <c r="W64" s="112"/>
      <c r="X64" s="112"/>
      <c r="Y64" s="112"/>
      <c r="Z64" s="112"/>
      <c r="AA64" s="112"/>
      <c r="AB64" s="112"/>
      <c r="AC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V64" s="112"/>
      <c r="AW64" s="112"/>
      <c r="AZ64" s="112"/>
    </row>
    <row r="65" ht="34.5" customHeight="1">
      <c r="A65" s="102">
        <v>46.0</v>
      </c>
      <c r="B65" s="103" t="str">
        <f>Prelim!$B65</f>
        <v/>
      </c>
      <c r="C65" s="104"/>
      <c r="D65" s="105"/>
      <c r="E65" s="104"/>
      <c r="F65" s="106"/>
      <c r="G65" s="104"/>
      <c r="H65" s="106"/>
      <c r="I65" s="107"/>
      <c r="J65" s="106"/>
      <c r="K65" s="106"/>
      <c r="L65" s="108"/>
      <c r="M65" s="104"/>
      <c r="N65" s="109"/>
      <c r="O65" s="108"/>
      <c r="P65" s="110"/>
      <c r="Q65" s="110"/>
      <c r="R65" s="110"/>
      <c r="S65" s="110"/>
      <c r="T65" s="110"/>
      <c r="U65" s="112"/>
      <c r="V65" s="112"/>
      <c r="W65" s="112"/>
      <c r="X65" s="112"/>
      <c r="Y65" s="112"/>
      <c r="Z65" s="112"/>
      <c r="AA65" s="112"/>
      <c r="AB65" s="112"/>
      <c r="AC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V65" s="112"/>
      <c r="AW65" s="112"/>
      <c r="AZ65" s="112"/>
    </row>
    <row r="66" ht="34.5" customHeight="1">
      <c r="A66" s="102">
        <v>47.0</v>
      </c>
      <c r="B66" s="103" t="str">
        <f>Prelim!$B66</f>
        <v/>
      </c>
      <c r="C66" s="104"/>
      <c r="D66" s="105"/>
      <c r="E66" s="104"/>
      <c r="F66" s="106"/>
      <c r="G66" s="104"/>
      <c r="H66" s="106"/>
      <c r="I66" s="107"/>
      <c r="J66" s="106"/>
      <c r="K66" s="106"/>
      <c r="L66" s="108"/>
      <c r="M66" s="104"/>
      <c r="N66" s="109"/>
      <c r="O66" s="108"/>
      <c r="P66" s="110"/>
      <c r="Q66" s="110"/>
      <c r="R66" s="110"/>
      <c r="S66" s="110"/>
      <c r="T66" s="110"/>
      <c r="U66" s="112"/>
      <c r="V66" s="112"/>
      <c r="W66" s="112"/>
      <c r="X66" s="112"/>
      <c r="Y66" s="112"/>
      <c r="Z66" s="112"/>
      <c r="AA66" s="112"/>
      <c r="AB66" s="112"/>
      <c r="AC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V66" s="112"/>
      <c r="AW66" s="112"/>
      <c r="AZ66" s="112"/>
    </row>
    <row r="67" ht="34.5" customHeight="1">
      <c r="A67" s="102">
        <v>48.0</v>
      </c>
      <c r="B67" s="103" t="str">
        <f>Prelim!$B67</f>
        <v/>
      </c>
      <c r="C67" s="104"/>
      <c r="D67" s="105"/>
      <c r="E67" s="104"/>
      <c r="F67" s="106"/>
      <c r="G67" s="104"/>
      <c r="H67" s="106"/>
      <c r="I67" s="107"/>
      <c r="J67" s="106"/>
      <c r="K67" s="106"/>
      <c r="L67" s="108"/>
      <c r="M67" s="104"/>
      <c r="N67" s="109"/>
      <c r="O67" s="108"/>
      <c r="P67" s="110"/>
      <c r="Q67" s="110"/>
      <c r="R67" s="110"/>
      <c r="S67" s="110"/>
      <c r="T67" s="110"/>
      <c r="U67" s="112"/>
      <c r="V67" s="112"/>
      <c r="W67" s="112"/>
      <c r="X67" s="112"/>
      <c r="Y67" s="112"/>
      <c r="Z67" s="112"/>
      <c r="AA67" s="112"/>
      <c r="AB67" s="112"/>
      <c r="AC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V67" s="112"/>
      <c r="AW67" s="112"/>
      <c r="AZ67" s="112"/>
    </row>
    <row r="68" ht="34.5" customHeight="1">
      <c r="A68" s="102">
        <v>49.0</v>
      </c>
      <c r="B68" s="103" t="str">
        <f>Prelim!$B68</f>
        <v/>
      </c>
      <c r="C68" s="104"/>
      <c r="D68" s="105"/>
      <c r="E68" s="104"/>
      <c r="F68" s="106"/>
      <c r="G68" s="104"/>
      <c r="H68" s="106"/>
      <c r="I68" s="107"/>
      <c r="J68" s="106"/>
      <c r="K68" s="106"/>
      <c r="L68" s="108"/>
      <c r="M68" s="104"/>
      <c r="N68" s="109"/>
      <c r="O68" s="108"/>
      <c r="P68" s="110"/>
      <c r="Q68" s="110"/>
      <c r="R68" s="110"/>
      <c r="S68" s="110"/>
      <c r="T68" s="110"/>
      <c r="U68" s="112"/>
      <c r="V68" s="112"/>
      <c r="W68" s="112"/>
      <c r="X68" s="112"/>
      <c r="Y68" s="112"/>
      <c r="Z68" s="112"/>
      <c r="AA68" s="112"/>
      <c r="AB68" s="112"/>
      <c r="AC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V68" s="112"/>
      <c r="AW68" s="112"/>
      <c r="AZ68" s="112"/>
    </row>
    <row r="69" ht="34.5" customHeight="1">
      <c r="A69" s="102">
        <v>50.0</v>
      </c>
      <c r="B69" s="103" t="str">
        <f>Prelim!$B69</f>
        <v/>
      </c>
      <c r="C69" s="104"/>
      <c r="D69" s="105"/>
      <c r="E69" s="104"/>
      <c r="F69" s="106"/>
      <c r="G69" s="104"/>
      <c r="H69" s="106"/>
      <c r="I69" s="107"/>
      <c r="J69" s="106"/>
      <c r="K69" s="106"/>
      <c r="L69" s="108"/>
      <c r="M69" s="104"/>
      <c r="N69" s="109"/>
      <c r="O69" s="108"/>
      <c r="P69" s="110"/>
      <c r="Q69" s="110"/>
      <c r="R69" s="110"/>
      <c r="S69" s="110"/>
      <c r="T69" s="110"/>
      <c r="U69" s="112"/>
      <c r="V69" s="112"/>
      <c r="W69" s="112"/>
      <c r="X69" s="112"/>
      <c r="Y69" s="112"/>
      <c r="Z69" s="112"/>
      <c r="AA69" s="112"/>
      <c r="AB69" s="112"/>
      <c r="AC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V69" s="112"/>
      <c r="AW69" s="112"/>
      <c r="AZ69" s="112"/>
    </row>
    <row r="70" ht="34.5" customHeight="1">
      <c r="A70" s="102">
        <v>51.0</v>
      </c>
      <c r="B70" s="103" t="str">
        <f>Prelim!$B70</f>
        <v/>
      </c>
      <c r="C70" s="104"/>
      <c r="D70" s="105"/>
      <c r="E70" s="104"/>
      <c r="F70" s="106"/>
      <c r="G70" s="104"/>
      <c r="H70" s="106"/>
      <c r="I70" s="107"/>
      <c r="J70" s="106"/>
      <c r="K70" s="106"/>
      <c r="L70" s="108"/>
      <c r="M70" s="104"/>
      <c r="N70" s="109"/>
      <c r="O70" s="108"/>
      <c r="P70" s="110"/>
      <c r="Q70" s="110"/>
      <c r="R70" s="110"/>
      <c r="S70" s="110"/>
      <c r="T70" s="110"/>
      <c r="U70" s="112"/>
      <c r="V70" s="112"/>
      <c r="W70" s="112"/>
      <c r="X70" s="112"/>
      <c r="Y70" s="112"/>
      <c r="Z70" s="112"/>
      <c r="AA70" s="112"/>
      <c r="AB70" s="112"/>
      <c r="AC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V70" s="112"/>
      <c r="AW70" s="112"/>
      <c r="AZ70" s="112"/>
    </row>
    <row r="71" ht="34.5" customHeight="1">
      <c r="A71" s="102">
        <v>52.0</v>
      </c>
      <c r="B71" s="103" t="str">
        <f>Prelim!$B71</f>
        <v/>
      </c>
      <c r="C71" s="104"/>
      <c r="D71" s="105"/>
      <c r="E71" s="104"/>
      <c r="F71" s="106"/>
      <c r="G71" s="104"/>
      <c r="H71" s="106"/>
      <c r="I71" s="107"/>
      <c r="J71" s="106"/>
      <c r="K71" s="106"/>
      <c r="L71" s="108"/>
      <c r="M71" s="104"/>
      <c r="N71" s="109"/>
      <c r="O71" s="108"/>
      <c r="P71" s="110"/>
      <c r="Q71" s="110"/>
      <c r="R71" s="110"/>
      <c r="S71" s="110"/>
      <c r="T71" s="110"/>
      <c r="U71" s="112"/>
      <c r="V71" s="112"/>
      <c r="W71" s="112"/>
      <c r="X71" s="112"/>
      <c r="Y71" s="112"/>
      <c r="Z71" s="112"/>
      <c r="AA71" s="112"/>
      <c r="AB71" s="112"/>
      <c r="AC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V71" s="112"/>
      <c r="AW71" s="112"/>
      <c r="AZ71" s="112"/>
    </row>
    <row r="72" ht="34.5" customHeight="1">
      <c r="A72" s="102">
        <v>53.0</v>
      </c>
      <c r="B72" s="103" t="str">
        <f>Prelim!$B72</f>
        <v/>
      </c>
      <c r="C72" s="104"/>
      <c r="D72" s="105"/>
      <c r="E72" s="104"/>
      <c r="F72" s="106"/>
      <c r="G72" s="104"/>
      <c r="H72" s="106"/>
      <c r="I72" s="107"/>
      <c r="J72" s="106"/>
      <c r="K72" s="106"/>
      <c r="L72" s="108"/>
      <c r="M72" s="104"/>
      <c r="N72" s="109"/>
      <c r="O72" s="108"/>
      <c r="P72" s="110"/>
      <c r="Q72" s="110"/>
      <c r="R72" s="110"/>
      <c r="S72" s="110"/>
      <c r="T72" s="110"/>
      <c r="U72" s="112"/>
      <c r="V72" s="112"/>
      <c r="W72" s="112"/>
      <c r="X72" s="112"/>
      <c r="Y72" s="112"/>
      <c r="Z72" s="112"/>
      <c r="AA72" s="112"/>
      <c r="AB72" s="112"/>
      <c r="AC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V72" s="112"/>
      <c r="AW72" s="112"/>
      <c r="AZ72" s="112"/>
    </row>
    <row r="73" ht="34.5" customHeight="1">
      <c r="A73" s="102">
        <v>54.0</v>
      </c>
      <c r="B73" s="103" t="str">
        <f>Prelim!$B73</f>
        <v/>
      </c>
      <c r="C73" s="104"/>
      <c r="D73" s="105"/>
      <c r="E73" s="104"/>
      <c r="F73" s="106"/>
      <c r="G73" s="104"/>
      <c r="H73" s="106"/>
      <c r="I73" s="107"/>
      <c r="J73" s="106"/>
      <c r="K73" s="106"/>
      <c r="L73" s="108"/>
      <c r="M73" s="104"/>
      <c r="N73" s="109"/>
      <c r="O73" s="108"/>
      <c r="P73" s="110"/>
      <c r="Q73" s="110"/>
      <c r="R73" s="110"/>
      <c r="S73" s="110"/>
      <c r="T73" s="110"/>
      <c r="U73" s="112"/>
      <c r="V73" s="112"/>
      <c r="W73" s="112"/>
      <c r="X73" s="112"/>
      <c r="Y73" s="112"/>
      <c r="Z73" s="112"/>
      <c r="AA73" s="112"/>
      <c r="AB73" s="112"/>
      <c r="AC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V73" s="114"/>
      <c r="AW73" s="114"/>
      <c r="AX73" s="115"/>
      <c r="AY73" s="115"/>
      <c r="AZ73" s="112"/>
    </row>
    <row r="74" ht="34.5" customHeight="1">
      <c r="A74" s="102">
        <v>55.0</v>
      </c>
      <c r="B74" s="103" t="str">
        <f>Prelim!$B74</f>
        <v/>
      </c>
      <c r="C74" s="104"/>
      <c r="D74" s="105"/>
      <c r="E74" s="104"/>
      <c r="F74" s="106"/>
      <c r="G74" s="104"/>
      <c r="H74" s="106"/>
      <c r="I74" s="107"/>
      <c r="J74" s="106"/>
      <c r="K74" s="106"/>
      <c r="L74" s="108"/>
      <c r="M74" s="104"/>
      <c r="N74" s="109"/>
      <c r="O74" s="108"/>
      <c r="P74" s="110"/>
      <c r="Q74" s="110"/>
      <c r="R74" s="110"/>
      <c r="S74" s="110"/>
      <c r="T74" s="110"/>
      <c r="U74" s="114"/>
      <c r="V74" s="114"/>
      <c r="W74" s="114"/>
      <c r="X74" s="114"/>
      <c r="Y74" s="114"/>
      <c r="Z74" s="114"/>
      <c r="AA74" s="114"/>
      <c r="AB74" s="114"/>
      <c r="AC74" s="114"/>
      <c r="AD74" s="115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5"/>
      <c r="AU74" s="115"/>
      <c r="AV74" s="112"/>
      <c r="AW74" s="112"/>
      <c r="AZ74" s="112"/>
    </row>
    <row r="75" ht="15.75" customHeight="1"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V75" s="112"/>
      <c r="AW75" s="112"/>
      <c r="AZ75" s="112"/>
    </row>
    <row r="76" ht="27.75" customHeight="1">
      <c r="A76" s="133" t="s">
        <v>71</v>
      </c>
      <c r="B76" s="72"/>
      <c r="C76" s="134"/>
      <c r="D76" s="2"/>
      <c r="E76" s="2"/>
      <c r="F76" s="2"/>
      <c r="G76" s="3"/>
      <c r="H76" s="135"/>
      <c r="I76" s="2"/>
      <c r="J76" s="2"/>
      <c r="K76" s="3"/>
      <c r="L76" s="136"/>
      <c r="M76" s="137"/>
      <c r="N76" s="137"/>
      <c r="O76" s="137"/>
      <c r="P76" s="137"/>
      <c r="Q76" s="137"/>
      <c r="R76" s="137"/>
      <c r="S76" s="137"/>
      <c r="T76" s="72"/>
      <c r="U76" s="112"/>
      <c r="V76" s="112"/>
      <c r="W76" s="112"/>
      <c r="X76" s="112"/>
      <c r="Y76" s="112"/>
      <c r="Z76" s="112"/>
      <c r="AA76" s="112"/>
      <c r="AB76" s="112"/>
      <c r="AC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V76" s="112"/>
      <c r="AW76" s="112"/>
      <c r="AZ76" s="112"/>
    </row>
    <row r="77" ht="15.75" customHeight="1">
      <c r="A77" s="68"/>
      <c r="B77" s="9"/>
      <c r="C77" s="138" t="s">
        <v>72</v>
      </c>
      <c r="D77" s="2"/>
      <c r="E77" s="2"/>
      <c r="F77" s="2"/>
      <c r="G77" s="3"/>
      <c r="H77" s="139" t="s">
        <v>73</v>
      </c>
      <c r="I77" s="2"/>
      <c r="J77" s="2"/>
      <c r="K77" s="3"/>
      <c r="L77" s="68"/>
      <c r="M77" s="8"/>
      <c r="N77" s="8"/>
      <c r="O77" s="8"/>
      <c r="P77" s="8"/>
      <c r="Q77" s="8"/>
      <c r="R77" s="8"/>
      <c r="S77" s="8"/>
      <c r="T77" s="9"/>
      <c r="U77" s="112"/>
      <c r="V77" s="112"/>
      <c r="W77" s="112"/>
      <c r="X77" s="112"/>
      <c r="Y77" s="112"/>
      <c r="Z77" s="112"/>
      <c r="AA77" s="112"/>
      <c r="AB77" s="112"/>
      <c r="AC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V77" s="112"/>
      <c r="AW77" s="112"/>
      <c r="AZ77" s="112"/>
    </row>
    <row r="78" ht="34.5" customHeight="1">
      <c r="A78" s="133" t="s">
        <v>74</v>
      </c>
      <c r="B78" s="72"/>
      <c r="C78" s="140"/>
      <c r="D78" s="2"/>
      <c r="E78" s="2"/>
      <c r="F78" s="2"/>
      <c r="G78" s="3"/>
      <c r="H78" s="140"/>
      <c r="I78" s="2"/>
      <c r="J78" s="2"/>
      <c r="K78" s="3"/>
      <c r="L78" s="136"/>
      <c r="M78" s="137"/>
      <c r="N78" s="137"/>
      <c r="O78" s="137"/>
      <c r="P78" s="137"/>
      <c r="Q78" s="137"/>
      <c r="R78" s="137"/>
      <c r="S78" s="137"/>
      <c r="T78" s="72"/>
      <c r="U78" s="112"/>
      <c r="V78" s="112"/>
      <c r="W78" s="112"/>
      <c r="X78" s="112"/>
      <c r="Y78" s="112"/>
      <c r="Z78" s="112"/>
      <c r="AA78" s="112"/>
      <c r="AB78" s="112"/>
      <c r="AC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V78" s="112"/>
      <c r="AW78" s="112"/>
      <c r="AZ78" s="112"/>
    </row>
    <row r="79" ht="15.75" customHeight="1">
      <c r="A79" s="68"/>
      <c r="B79" s="9"/>
      <c r="C79" s="138" t="s">
        <v>72</v>
      </c>
      <c r="D79" s="2"/>
      <c r="E79" s="2"/>
      <c r="F79" s="2"/>
      <c r="G79" s="3"/>
      <c r="H79" s="139" t="s">
        <v>73</v>
      </c>
      <c r="I79" s="2"/>
      <c r="J79" s="2"/>
      <c r="K79" s="3"/>
      <c r="L79" s="68"/>
      <c r="M79" s="8"/>
      <c r="N79" s="8"/>
      <c r="O79" s="8"/>
      <c r="P79" s="8"/>
      <c r="Q79" s="8"/>
      <c r="R79" s="8"/>
      <c r="S79" s="8"/>
      <c r="T79" s="9"/>
      <c r="U79" s="112"/>
      <c r="V79" s="112"/>
      <c r="W79" s="112"/>
      <c r="X79" s="112"/>
      <c r="Y79" s="112"/>
      <c r="Z79" s="112"/>
      <c r="AA79" s="112"/>
      <c r="AB79" s="112"/>
      <c r="AC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V79" s="112"/>
      <c r="AW79" s="112"/>
      <c r="AZ79" s="112"/>
    </row>
    <row r="80" ht="15.75" customHeight="1"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V80" s="112"/>
      <c r="AW80" s="112"/>
      <c r="AZ80" s="112"/>
    </row>
    <row r="81" ht="15.75" customHeight="1">
      <c r="A81" s="116"/>
      <c r="B81" s="116"/>
      <c r="C81" s="116"/>
      <c r="D81" s="116"/>
      <c r="E81" s="117"/>
      <c r="F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V81" s="112"/>
      <c r="AW81" s="112"/>
      <c r="AZ81" s="112"/>
    </row>
    <row r="82" ht="15.75" customHeight="1">
      <c r="A82" s="118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V82" s="112"/>
      <c r="AW82" s="112"/>
      <c r="AZ82" s="112"/>
    </row>
    <row r="83" ht="15.75" customHeight="1"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V83" s="112"/>
      <c r="AW83" s="112"/>
      <c r="AZ83" s="112"/>
    </row>
    <row r="84" ht="15.75" customHeight="1"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V84" s="112"/>
      <c r="AW84" s="112"/>
      <c r="AZ84" s="112"/>
    </row>
    <row r="85" ht="15.75" customHeight="1"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V85" s="112"/>
      <c r="AW85" s="112"/>
      <c r="AZ85" s="112"/>
    </row>
    <row r="86" ht="15.75" customHeight="1"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V86" s="112"/>
      <c r="AW86" s="112"/>
      <c r="AZ86" s="112"/>
    </row>
    <row r="87" ht="15.75" customHeight="1"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V87" s="112"/>
      <c r="AW87" s="112"/>
      <c r="AZ87" s="112"/>
    </row>
    <row r="88" ht="15.75" customHeight="1"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V88" s="112"/>
      <c r="AW88" s="112"/>
      <c r="AZ88" s="112"/>
    </row>
    <row r="89" ht="15.75" customHeight="1"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V89" s="112"/>
      <c r="AW89" s="112"/>
      <c r="AZ89" s="112"/>
    </row>
    <row r="90" ht="15.75" customHeight="1"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V90" s="112"/>
      <c r="AW90" s="112"/>
      <c r="AZ90" s="112"/>
    </row>
    <row r="91" ht="15.75" customHeight="1"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V91" s="112"/>
      <c r="AW91" s="112"/>
      <c r="AZ91" s="112"/>
    </row>
    <row r="92" ht="15.75" customHeight="1"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V92" s="112"/>
      <c r="AW92" s="112"/>
      <c r="AZ92" s="112"/>
    </row>
    <row r="93" ht="15.75" customHeight="1"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V93" s="112"/>
      <c r="AW93" s="112"/>
      <c r="AZ93" s="112"/>
    </row>
    <row r="94" ht="15.75" customHeight="1"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V94" s="112"/>
      <c r="AW94" s="112"/>
      <c r="AZ94" s="112"/>
    </row>
    <row r="95" ht="15.75" customHeight="1"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V95" s="112"/>
      <c r="AW95" s="112"/>
      <c r="AZ95" s="112"/>
    </row>
    <row r="96" ht="15.75" customHeight="1"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V96" s="112"/>
      <c r="AW96" s="112"/>
      <c r="AZ96" s="112"/>
    </row>
    <row r="97" ht="15.75" customHeight="1"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V97" s="112"/>
      <c r="AW97" s="112"/>
      <c r="AZ97" s="112"/>
    </row>
    <row r="98" ht="15.75" customHeight="1"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V98" s="112"/>
      <c r="AW98" s="112"/>
      <c r="AZ98" s="112"/>
    </row>
    <row r="99" ht="15.75" customHeight="1"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V99" s="112"/>
      <c r="AW99" s="112"/>
      <c r="AZ99" s="112"/>
    </row>
    <row r="100" ht="15.75" customHeight="1"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V100" s="112"/>
      <c r="AW100" s="112"/>
      <c r="AZ100" s="112"/>
    </row>
    <row r="101" ht="15.75" customHeight="1"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V101" s="112"/>
      <c r="AW101" s="112"/>
      <c r="AZ101" s="112"/>
    </row>
    <row r="102" ht="15.75" customHeight="1"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V102" s="112"/>
      <c r="AW102" s="112"/>
      <c r="AZ102" s="112"/>
    </row>
    <row r="103" ht="15.75" customHeight="1"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V103" s="112"/>
      <c r="AW103" s="112"/>
      <c r="AZ103" s="112"/>
    </row>
    <row r="104" ht="15.75" customHeight="1"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V104" s="112"/>
      <c r="AW104" s="112"/>
      <c r="AZ104" s="112"/>
    </row>
    <row r="105" ht="15.75" customHeight="1"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V105" s="112"/>
      <c r="AW105" s="112"/>
      <c r="AZ105" s="112"/>
    </row>
    <row r="106" ht="15.75" customHeight="1"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V106" s="112"/>
      <c r="AW106" s="112"/>
      <c r="AZ106" s="112"/>
    </row>
    <row r="107" ht="15.75" customHeight="1"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V107" s="112"/>
      <c r="AW107" s="112"/>
      <c r="AZ107" s="112"/>
    </row>
    <row r="108" ht="15.75" customHeight="1"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V108" s="112"/>
      <c r="AW108" s="112"/>
      <c r="AZ108" s="112"/>
    </row>
    <row r="109" ht="15.75" customHeight="1"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V109" s="112"/>
      <c r="AW109" s="112"/>
      <c r="AZ109" s="112"/>
    </row>
    <row r="110" ht="15.75" customHeight="1"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V110" s="112"/>
      <c r="AW110" s="112"/>
      <c r="AZ110" s="112"/>
    </row>
    <row r="111" ht="15.75" customHeight="1"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V111" s="112"/>
      <c r="AW111" s="112"/>
      <c r="AZ111" s="112"/>
    </row>
    <row r="112" ht="15.75" customHeight="1"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V112" s="112"/>
      <c r="AW112" s="112"/>
      <c r="AZ112" s="112"/>
    </row>
    <row r="113" ht="15.75" customHeight="1"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V113" s="112"/>
      <c r="AW113" s="112"/>
      <c r="AZ113" s="112"/>
    </row>
    <row r="114" ht="15.75" customHeight="1"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V114" s="112"/>
      <c r="AW114" s="112"/>
      <c r="AZ114" s="112"/>
    </row>
    <row r="115" ht="15.75" customHeight="1"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V115" s="112"/>
      <c r="AW115" s="112"/>
      <c r="AZ115" s="112"/>
    </row>
    <row r="116" ht="15.75" customHeight="1"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V116" s="112"/>
      <c r="AW116" s="112"/>
      <c r="AZ116" s="112"/>
    </row>
    <row r="117" ht="15.75" customHeight="1"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V117" s="112"/>
      <c r="AW117" s="112"/>
      <c r="AZ117" s="112"/>
    </row>
    <row r="118" ht="15.75" customHeight="1"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V118" s="112"/>
      <c r="AW118" s="112"/>
      <c r="AZ118" s="112"/>
    </row>
    <row r="119" ht="15.75" customHeight="1"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V119" s="112"/>
      <c r="AW119" s="112"/>
      <c r="AZ119" s="112"/>
    </row>
    <row r="120" ht="15.75" customHeight="1"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V120" s="112"/>
      <c r="AW120" s="112"/>
      <c r="AZ120" s="112"/>
    </row>
    <row r="121" ht="15.75" customHeight="1"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V121" s="112"/>
      <c r="AW121" s="112"/>
      <c r="AZ121" s="112"/>
    </row>
    <row r="122" ht="15.75" customHeight="1"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V122" s="112"/>
      <c r="AW122" s="112"/>
      <c r="AZ122" s="112"/>
    </row>
    <row r="123" ht="15.75" customHeight="1"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V123" s="112"/>
      <c r="AW123" s="112"/>
      <c r="AZ123" s="112"/>
    </row>
    <row r="124" ht="15.75" customHeight="1"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V124" s="112"/>
      <c r="AW124" s="112"/>
      <c r="AZ124" s="112"/>
    </row>
    <row r="125" ht="15.75" customHeight="1"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V125" s="112"/>
      <c r="AW125" s="112"/>
      <c r="AZ125" s="112"/>
    </row>
    <row r="126" ht="15.75" customHeight="1"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V126" s="112"/>
      <c r="AW126" s="112"/>
      <c r="AZ126" s="112"/>
    </row>
    <row r="127" ht="15.75" customHeight="1"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V127" s="112"/>
      <c r="AW127" s="112"/>
      <c r="AZ127" s="112"/>
    </row>
    <row r="128" ht="15.75" customHeight="1"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V128" s="112"/>
      <c r="AW128" s="112"/>
      <c r="AZ128" s="112"/>
    </row>
    <row r="129" ht="15.75" customHeight="1"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V129" s="112"/>
      <c r="AW129" s="112"/>
      <c r="AZ129" s="112"/>
    </row>
    <row r="130" ht="15.75" customHeight="1"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V130" s="112"/>
      <c r="AW130" s="112"/>
      <c r="AZ130" s="112"/>
    </row>
    <row r="131" ht="15.75" customHeight="1"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V131" s="112"/>
      <c r="AW131" s="112"/>
      <c r="AZ131" s="112"/>
    </row>
    <row r="132" ht="15.75" customHeight="1"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V132" s="112"/>
      <c r="AW132" s="112"/>
      <c r="AZ132" s="112"/>
    </row>
    <row r="133" ht="15.75" customHeight="1"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V133" s="112"/>
      <c r="AW133" s="112"/>
      <c r="AZ133" s="112"/>
    </row>
    <row r="134" ht="15.75" customHeight="1"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V134" s="112"/>
      <c r="AW134" s="112"/>
      <c r="AZ134" s="112"/>
    </row>
    <row r="135" ht="15.75" customHeight="1"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V135" s="112"/>
      <c r="AW135" s="112"/>
      <c r="AZ135" s="112"/>
    </row>
    <row r="136" ht="15.75" customHeight="1"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V136" s="112"/>
      <c r="AW136" s="112"/>
      <c r="AZ136" s="112"/>
    </row>
    <row r="137" ht="15.75" customHeight="1"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V137" s="112"/>
      <c r="AW137" s="112"/>
      <c r="AZ137" s="112"/>
    </row>
    <row r="138" ht="15.75" customHeight="1"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V138" s="112"/>
      <c r="AW138" s="112"/>
      <c r="AZ138" s="112"/>
    </row>
    <row r="139" ht="15.75" customHeight="1"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V139" s="112"/>
      <c r="AW139" s="112"/>
      <c r="AZ139" s="112"/>
    </row>
    <row r="140" ht="15.75" customHeight="1"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V140" s="112"/>
      <c r="AW140" s="112"/>
      <c r="AZ140" s="112"/>
    </row>
    <row r="141" ht="15.75" customHeight="1"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V141" s="112"/>
      <c r="AW141" s="112"/>
      <c r="AZ141" s="112"/>
    </row>
    <row r="142" ht="15.75" customHeight="1"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V142" s="112"/>
      <c r="AW142" s="112"/>
      <c r="AZ142" s="112"/>
    </row>
    <row r="143" ht="15.75" customHeight="1"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V143" s="112"/>
      <c r="AW143" s="112"/>
      <c r="AZ143" s="112"/>
    </row>
    <row r="144" ht="15.75" customHeight="1"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V144" s="112"/>
      <c r="AW144" s="112"/>
      <c r="AZ144" s="112"/>
    </row>
    <row r="145" ht="15.75" customHeight="1"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V145" s="112"/>
      <c r="AW145" s="112"/>
      <c r="AZ145" s="112"/>
    </row>
    <row r="146" ht="15.75" customHeight="1"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V146" s="112"/>
      <c r="AW146" s="112"/>
      <c r="AZ146" s="112"/>
    </row>
    <row r="147" ht="15.75" customHeight="1"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V147" s="112"/>
      <c r="AW147" s="112"/>
      <c r="AZ147" s="112"/>
    </row>
    <row r="148" ht="15.75" customHeight="1"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V148" s="112"/>
      <c r="AW148" s="112"/>
      <c r="AZ148" s="112"/>
    </row>
    <row r="149" ht="15.75" customHeight="1"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V149" s="112"/>
      <c r="AW149" s="112"/>
      <c r="AZ149" s="112"/>
    </row>
    <row r="150" ht="15.75" customHeight="1"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V150" s="112"/>
      <c r="AW150" s="112"/>
      <c r="AZ150" s="112"/>
    </row>
    <row r="151" ht="15.75" customHeight="1"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V151" s="112"/>
      <c r="AW151" s="112"/>
      <c r="AZ151" s="112"/>
    </row>
    <row r="152" ht="15.75" customHeight="1"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V152" s="112"/>
      <c r="AW152" s="112"/>
      <c r="AZ152" s="112"/>
    </row>
    <row r="153" ht="15.75" customHeight="1"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V153" s="112"/>
      <c r="AW153" s="112"/>
      <c r="AZ153" s="112"/>
    </row>
    <row r="154" ht="15.75" customHeight="1"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V154" s="112"/>
      <c r="AW154" s="112"/>
      <c r="AZ154" s="112"/>
    </row>
    <row r="155" ht="15.75" customHeight="1"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V155" s="112"/>
      <c r="AW155" s="112"/>
      <c r="AZ155" s="112"/>
    </row>
    <row r="156" ht="15.75" customHeight="1"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V156" s="112"/>
      <c r="AW156" s="112"/>
      <c r="AZ156" s="112"/>
    </row>
    <row r="157" ht="15.75" customHeight="1"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V157" s="112"/>
      <c r="AW157" s="112"/>
      <c r="AZ157" s="112"/>
    </row>
    <row r="158" ht="15.75" customHeight="1"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V158" s="112"/>
      <c r="AW158" s="112"/>
      <c r="AZ158" s="112"/>
    </row>
    <row r="159" ht="15.75" customHeight="1"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V159" s="112"/>
      <c r="AW159" s="112"/>
      <c r="AZ159" s="112"/>
    </row>
    <row r="160" ht="15.75" customHeight="1"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V160" s="112"/>
      <c r="AW160" s="112"/>
      <c r="AZ160" s="112"/>
    </row>
    <row r="161" ht="15.75" customHeight="1"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V161" s="112"/>
      <c r="AW161" s="112"/>
      <c r="AZ161" s="112"/>
    </row>
    <row r="162" ht="15.75" customHeight="1"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V162" s="112"/>
      <c r="AW162" s="112"/>
      <c r="AZ162" s="112"/>
    </row>
    <row r="163" ht="15.75" customHeight="1"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V163" s="112"/>
      <c r="AW163" s="112"/>
      <c r="AZ163" s="112"/>
    </row>
    <row r="164" ht="15.75" customHeight="1"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V164" s="112"/>
      <c r="AW164" s="112"/>
      <c r="AZ164" s="112"/>
    </row>
    <row r="165" ht="15.75" customHeight="1"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V165" s="112"/>
      <c r="AW165" s="112"/>
      <c r="AZ165" s="112"/>
    </row>
    <row r="166" ht="15.75" customHeight="1"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V166" s="112"/>
      <c r="AW166" s="112"/>
      <c r="AZ166" s="112"/>
    </row>
    <row r="167" ht="15.75" customHeight="1"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V167" s="112"/>
      <c r="AW167" s="112"/>
      <c r="AZ167" s="112"/>
    </row>
    <row r="168" ht="15.75" customHeight="1"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V168" s="112"/>
      <c r="AW168" s="112"/>
      <c r="AZ168" s="112"/>
    </row>
    <row r="169" ht="15.75" customHeight="1"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V169" s="112"/>
      <c r="AW169" s="112"/>
      <c r="AZ169" s="112"/>
    </row>
    <row r="170" ht="15.75" customHeight="1"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V170" s="112"/>
      <c r="AW170" s="112"/>
      <c r="AZ170" s="112"/>
    </row>
    <row r="171" ht="15.75" customHeight="1"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V171" s="112"/>
      <c r="AW171" s="112"/>
      <c r="AZ171" s="112"/>
    </row>
    <row r="172" ht="15.75" customHeight="1"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V172" s="112"/>
      <c r="AW172" s="112"/>
      <c r="AZ172" s="112"/>
    </row>
    <row r="173" ht="15.75" customHeight="1"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V173" s="112"/>
      <c r="AW173" s="112"/>
      <c r="AZ173" s="112"/>
    </row>
    <row r="174" ht="15.75" customHeight="1"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V174" s="112"/>
      <c r="AW174" s="112"/>
      <c r="AZ174" s="112"/>
    </row>
    <row r="175" ht="15.75" customHeight="1"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V175" s="112"/>
      <c r="AW175" s="112"/>
      <c r="AZ175" s="112"/>
    </row>
    <row r="176" ht="15.75" customHeight="1"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V176" s="112"/>
      <c r="AW176" s="112"/>
      <c r="AZ176" s="112"/>
    </row>
    <row r="177" ht="15.75" customHeight="1"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V177" s="112"/>
      <c r="AW177" s="112"/>
      <c r="AZ177" s="112"/>
    </row>
    <row r="178" ht="15.75" customHeight="1"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V178" s="112"/>
      <c r="AW178" s="112"/>
      <c r="AZ178" s="112"/>
    </row>
    <row r="179" ht="15.75" customHeight="1"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V179" s="112"/>
      <c r="AW179" s="112"/>
      <c r="AZ179" s="112"/>
    </row>
    <row r="180" ht="15.75" customHeight="1"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V180" s="112"/>
      <c r="AW180" s="112"/>
      <c r="AZ180" s="112"/>
    </row>
    <row r="181" ht="15.75" customHeight="1"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V181" s="112"/>
      <c r="AW181" s="112"/>
      <c r="AZ181" s="112"/>
    </row>
    <row r="182" ht="15.75" customHeight="1"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V182" s="112"/>
      <c r="AW182" s="112"/>
      <c r="AZ182" s="112"/>
    </row>
    <row r="183" ht="15.75" customHeight="1"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V183" s="112"/>
      <c r="AW183" s="112"/>
      <c r="AZ183" s="112"/>
    </row>
    <row r="184" ht="15.75" customHeight="1"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V184" s="112"/>
      <c r="AW184" s="112"/>
      <c r="AZ184" s="112"/>
    </row>
    <row r="185" ht="15.75" customHeight="1"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V185" s="112"/>
      <c r="AW185" s="112"/>
      <c r="AZ185" s="112"/>
    </row>
    <row r="186" ht="15.75" customHeight="1"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V186" s="112"/>
      <c r="AW186" s="112"/>
      <c r="AZ186" s="112"/>
    </row>
    <row r="187" ht="15.75" customHeight="1"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V187" s="112"/>
      <c r="AW187" s="112"/>
      <c r="AZ187" s="112"/>
    </row>
    <row r="188" ht="15.75" customHeight="1"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V188" s="112"/>
      <c r="AW188" s="112"/>
      <c r="AZ188" s="112"/>
    </row>
    <row r="189" ht="15.75" customHeight="1"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V189" s="112"/>
      <c r="AW189" s="112"/>
      <c r="AZ189" s="112"/>
    </row>
    <row r="190" ht="15.75" customHeight="1"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V190" s="112"/>
      <c r="AW190" s="112"/>
      <c r="AZ190" s="112"/>
    </row>
    <row r="191" ht="15.75" customHeight="1"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V191" s="112"/>
      <c r="AW191" s="112"/>
      <c r="AZ191" s="112"/>
    </row>
    <row r="192" ht="15.75" customHeight="1"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V192" s="112"/>
      <c r="AW192" s="112"/>
      <c r="AZ192" s="112"/>
    </row>
    <row r="193" ht="15.75" customHeight="1"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V193" s="112"/>
      <c r="AW193" s="112"/>
      <c r="AZ193" s="112"/>
    </row>
    <row r="194" ht="15.75" customHeight="1"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V194" s="112"/>
      <c r="AW194" s="112"/>
      <c r="AZ194" s="112"/>
    </row>
    <row r="195" ht="15.75" customHeight="1"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V195" s="112"/>
      <c r="AW195" s="112"/>
      <c r="AZ195" s="112"/>
    </row>
    <row r="196" ht="15.75" customHeight="1"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V196" s="112"/>
      <c r="AW196" s="112"/>
      <c r="AZ196" s="112"/>
    </row>
    <row r="197" ht="15.75" customHeight="1"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V197" s="112"/>
      <c r="AW197" s="112"/>
      <c r="AZ197" s="112"/>
    </row>
    <row r="198" ht="15.75" customHeight="1"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V198" s="112"/>
      <c r="AW198" s="112"/>
      <c r="AZ198" s="112"/>
    </row>
    <row r="199" ht="15.75" customHeight="1"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V199" s="112"/>
      <c r="AW199" s="112"/>
      <c r="AZ199" s="112"/>
    </row>
    <row r="200" ht="15.75" customHeight="1"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V200" s="112"/>
      <c r="AW200" s="112"/>
      <c r="AZ200" s="112"/>
    </row>
    <row r="201" ht="15.75" customHeight="1"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V201" s="112"/>
      <c r="AW201" s="112"/>
      <c r="AZ201" s="112"/>
    </row>
    <row r="202" ht="15.75" customHeight="1"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V202" s="112"/>
      <c r="AW202" s="112"/>
      <c r="AZ202" s="112"/>
    </row>
    <row r="203" ht="15.75" customHeight="1"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V203" s="112"/>
      <c r="AW203" s="112"/>
      <c r="AZ203" s="112"/>
    </row>
    <row r="204" ht="15.75" customHeight="1"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V204" s="112"/>
      <c r="AW204" s="112"/>
      <c r="AZ204" s="112"/>
    </row>
    <row r="205" ht="15.75" customHeight="1"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V205" s="112"/>
      <c r="AW205" s="112"/>
      <c r="AZ205" s="112"/>
    </row>
    <row r="206" ht="15.75" customHeight="1"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V206" s="112"/>
      <c r="AW206" s="112"/>
      <c r="AZ206" s="112"/>
    </row>
    <row r="207" ht="15.75" customHeight="1"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V207" s="112"/>
      <c r="AW207" s="112"/>
      <c r="AZ207" s="112"/>
    </row>
    <row r="208" ht="15.75" customHeight="1"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V208" s="112"/>
      <c r="AW208" s="112"/>
      <c r="AZ208" s="112"/>
    </row>
    <row r="209" ht="15.75" customHeight="1"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V209" s="112"/>
      <c r="AW209" s="112"/>
      <c r="AZ209" s="112"/>
    </row>
    <row r="210" ht="15.75" customHeight="1"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V210" s="112"/>
      <c r="AW210" s="112"/>
      <c r="AZ210" s="112"/>
    </row>
    <row r="211" ht="15.75" customHeight="1"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V211" s="112"/>
      <c r="AW211" s="112"/>
      <c r="AZ211" s="112"/>
    </row>
    <row r="212" ht="15.75" customHeight="1"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V212" s="112"/>
      <c r="AW212" s="112"/>
      <c r="AZ212" s="112"/>
    </row>
    <row r="213" ht="15.75" customHeight="1"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V213" s="112"/>
      <c r="AW213" s="112"/>
      <c r="AZ213" s="112"/>
    </row>
    <row r="214" ht="15.75" customHeight="1"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V214" s="112"/>
      <c r="AW214" s="112"/>
      <c r="AZ214" s="112"/>
    </row>
    <row r="215" ht="15.75" customHeight="1"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V215" s="112"/>
      <c r="AW215" s="112"/>
      <c r="AZ215" s="112"/>
    </row>
    <row r="216" ht="15.75" customHeight="1"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V216" s="112"/>
      <c r="AW216" s="112"/>
      <c r="AZ216" s="112"/>
    </row>
    <row r="217" ht="15.75" customHeight="1"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V217" s="112"/>
      <c r="AW217" s="112"/>
      <c r="AZ217" s="112"/>
    </row>
    <row r="218" ht="15.75" customHeight="1"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V218" s="112"/>
      <c r="AW218" s="112"/>
      <c r="AZ218" s="112"/>
    </row>
    <row r="219" ht="15.75" customHeight="1"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V219" s="112"/>
      <c r="AW219" s="112"/>
      <c r="AZ219" s="112"/>
    </row>
    <row r="220" ht="15.75" customHeight="1"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V220" s="112"/>
      <c r="AW220" s="112"/>
      <c r="AZ220" s="112"/>
    </row>
    <row r="221" ht="15.75" customHeight="1"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V221" s="112"/>
      <c r="AW221" s="112"/>
      <c r="AZ221" s="112"/>
    </row>
    <row r="222" ht="15.75" customHeight="1"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V222" s="112"/>
      <c r="AW222" s="112"/>
      <c r="AZ222" s="112"/>
    </row>
    <row r="223" ht="15.75" customHeight="1"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V223" s="112"/>
      <c r="AW223" s="112"/>
      <c r="AZ223" s="112"/>
    </row>
    <row r="224" ht="15.75" customHeight="1"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V224" s="112"/>
      <c r="AW224" s="112"/>
      <c r="AZ224" s="112"/>
    </row>
    <row r="225" ht="15.75" customHeight="1"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V225" s="112"/>
      <c r="AW225" s="112"/>
      <c r="AZ225" s="112"/>
    </row>
    <row r="226" ht="15.75" customHeight="1"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V226" s="112"/>
      <c r="AW226" s="112"/>
      <c r="AZ226" s="112"/>
    </row>
    <row r="227" ht="15.75" customHeight="1"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V227" s="112"/>
      <c r="AW227" s="112"/>
      <c r="AZ227" s="112"/>
    </row>
    <row r="228" ht="15.75" customHeight="1"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V228" s="112"/>
      <c r="AW228" s="112"/>
      <c r="AZ228" s="112"/>
    </row>
    <row r="229" ht="15.75" customHeight="1"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V229" s="112"/>
      <c r="AW229" s="112"/>
      <c r="AZ229" s="112"/>
    </row>
    <row r="230" ht="15.75" customHeight="1"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V230" s="112"/>
      <c r="AW230" s="112"/>
      <c r="AZ230" s="112"/>
    </row>
    <row r="231" ht="15.75" customHeight="1"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V231" s="112"/>
      <c r="AW231" s="112"/>
      <c r="AZ231" s="112"/>
    </row>
    <row r="232" ht="15.75" customHeight="1"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V232" s="112"/>
      <c r="AW232" s="112"/>
      <c r="AZ232" s="112"/>
    </row>
    <row r="233" ht="15.75" customHeight="1"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V233" s="112"/>
      <c r="AW233" s="112"/>
      <c r="AZ233" s="112"/>
    </row>
    <row r="234" ht="15.75" customHeight="1"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V234" s="112"/>
      <c r="AW234" s="112"/>
      <c r="AZ234" s="112"/>
    </row>
    <row r="235" ht="15.75" customHeight="1"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V235" s="112"/>
      <c r="AW235" s="112"/>
      <c r="AZ235" s="112"/>
    </row>
    <row r="236" ht="15.75" customHeight="1"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V236" s="112"/>
      <c r="AW236" s="112"/>
      <c r="AZ236" s="112"/>
    </row>
    <row r="237" ht="15.75" customHeight="1"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V237" s="112"/>
      <c r="AW237" s="112"/>
      <c r="AZ237" s="112"/>
    </row>
    <row r="238" ht="15.75" customHeight="1"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V238" s="112"/>
      <c r="AW238" s="112"/>
      <c r="AZ238" s="112"/>
    </row>
    <row r="239" ht="15.75" customHeight="1"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V239" s="112"/>
      <c r="AW239" s="112"/>
      <c r="AZ239" s="112"/>
    </row>
    <row r="240" ht="15.75" customHeight="1"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V240" s="112"/>
      <c r="AW240" s="112"/>
      <c r="AZ240" s="112"/>
    </row>
    <row r="241" ht="15.75" customHeight="1"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V241" s="112"/>
      <c r="AW241" s="112"/>
      <c r="AZ241" s="112"/>
    </row>
    <row r="242" ht="15.75" customHeight="1"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V242" s="112"/>
      <c r="AW242" s="112"/>
      <c r="AZ242" s="112"/>
    </row>
    <row r="243" ht="15.75" customHeight="1"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V243" s="112"/>
      <c r="AW243" s="112"/>
      <c r="AZ243" s="112"/>
    </row>
    <row r="244" ht="15.75" customHeight="1"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V244" s="112"/>
      <c r="AW244" s="112"/>
      <c r="AZ244" s="112"/>
    </row>
    <row r="245" ht="15.75" customHeight="1"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V245" s="112"/>
      <c r="AW245" s="112"/>
      <c r="AZ245" s="112"/>
    </row>
    <row r="246" ht="15.75" customHeight="1"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V246" s="112"/>
      <c r="AW246" s="112"/>
      <c r="AZ246" s="112"/>
    </row>
    <row r="247" ht="15.75" customHeight="1"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V247" s="112"/>
      <c r="AW247" s="112"/>
      <c r="AZ247" s="112"/>
    </row>
    <row r="248" ht="15.75" customHeight="1"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V248" s="112"/>
      <c r="AW248" s="112"/>
      <c r="AZ248" s="112"/>
    </row>
    <row r="249" ht="15.75" customHeight="1"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V249" s="112"/>
      <c r="AW249" s="112"/>
      <c r="AZ249" s="112"/>
    </row>
    <row r="250" ht="15.75" customHeight="1"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V250" s="112"/>
      <c r="AW250" s="112"/>
      <c r="AZ250" s="112"/>
    </row>
    <row r="251" ht="15.75" customHeight="1"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V251" s="112"/>
      <c r="AW251" s="112"/>
      <c r="AZ251" s="112"/>
    </row>
    <row r="252" ht="15.75" customHeight="1"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V252" s="112"/>
      <c r="AW252" s="112"/>
      <c r="AZ252" s="112"/>
    </row>
    <row r="253" ht="15.75" customHeight="1"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V253" s="112"/>
      <c r="AW253" s="112"/>
      <c r="AZ253" s="112"/>
    </row>
    <row r="254" ht="15.75" customHeight="1"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V254" s="112"/>
      <c r="AW254" s="112"/>
      <c r="AZ254" s="112"/>
    </row>
    <row r="255" ht="15.75" customHeight="1"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V255" s="112"/>
      <c r="AW255" s="112"/>
      <c r="AZ255" s="112"/>
    </row>
    <row r="256" ht="15.75" customHeight="1"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V256" s="112"/>
      <c r="AW256" s="112"/>
      <c r="AZ256" s="112"/>
    </row>
    <row r="257" ht="15.75" customHeight="1"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V257" s="112"/>
      <c r="AW257" s="112"/>
      <c r="AZ257" s="112"/>
    </row>
    <row r="258" ht="15.75" customHeight="1"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V258" s="112"/>
      <c r="AW258" s="112"/>
      <c r="AZ258" s="112"/>
    </row>
    <row r="259" ht="15.75" customHeight="1"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V259" s="112"/>
      <c r="AW259" s="112"/>
      <c r="AZ259" s="112"/>
    </row>
    <row r="260" ht="15.75" customHeight="1"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V260" s="112"/>
      <c r="AW260" s="112"/>
      <c r="AZ260" s="112"/>
    </row>
    <row r="261" ht="15.75" customHeight="1"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V261" s="112"/>
      <c r="AW261" s="112"/>
      <c r="AZ261" s="112"/>
    </row>
    <row r="262" ht="15.75" customHeight="1"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V262" s="112"/>
      <c r="AW262" s="112"/>
      <c r="AZ262" s="112"/>
    </row>
    <row r="263" ht="15.75" customHeight="1"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V263" s="112"/>
      <c r="AW263" s="112"/>
      <c r="AZ263" s="112"/>
    </row>
    <row r="264" ht="15.75" customHeight="1"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V264" s="112"/>
      <c r="AW264" s="112"/>
      <c r="AZ264" s="112"/>
    </row>
    <row r="265" ht="15.75" customHeight="1"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V265" s="112"/>
      <c r="AW265" s="112"/>
      <c r="AZ265" s="112"/>
    </row>
    <row r="266" ht="15.75" customHeight="1"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V266" s="112"/>
      <c r="AW266" s="112"/>
      <c r="AZ266" s="112"/>
    </row>
    <row r="267" ht="15.75" customHeight="1"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V267" s="112"/>
      <c r="AW267" s="112"/>
      <c r="AZ267" s="112"/>
    </row>
    <row r="268" ht="15.75" customHeight="1"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V268" s="112"/>
      <c r="AW268" s="112"/>
      <c r="AZ268" s="112"/>
    </row>
    <row r="269" ht="15.75" customHeight="1"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V269" s="112"/>
      <c r="AW269" s="112"/>
      <c r="AZ269" s="112"/>
    </row>
    <row r="270" ht="15.75" customHeight="1"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V270" s="112"/>
      <c r="AW270" s="112"/>
      <c r="AZ270" s="112"/>
    </row>
    <row r="271" ht="15.75" customHeight="1"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V271" s="112"/>
      <c r="AW271" s="112"/>
      <c r="AZ271" s="112"/>
    </row>
    <row r="272" ht="15.75" customHeight="1"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V272" s="112"/>
      <c r="AW272" s="112"/>
      <c r="AZ272" s="112"/>
    </row>
    <row r="273" ht="15.75" customHeight="1"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V273" s="112"/>
      <c r="AW273" s="112"/>
      <c r="AZ273" s="112"/>
    </row>
    <row r="274" ht="15.75" customHeight="1"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V274" s="112"/>
      <c r="AW274" s="112"/>
      <c r="AZ274" s="112"/>
    </row>
    <row r="275" ht="15.75" customHeight="1"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V275" s="112"/>
      <c r="AW275" s="112"/>
      <c r="AZ275" s="112"/>
    </row>
    <row r="276" ht="15.75" customHeight="1"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V276" s="112"/>
      <c r="AW276" s="112"/>
      <c r="AZ276" s="112"/>
    </row>
    <row r="277" ht="15.75" customHeight="1"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V277" s="112"/>
      <c r="AW277" s="112"/>
      <c r="AZ277" s="112"/>
    </row>
    <row r="278" ht="15.75" customHeight="1"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V278" s="112"/>
      <c r="AW278" s="112"/>
      <c r="AZ278" s="112"/>
    </row>
    <row r="279" ht="15.75" customHeight="1"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V279" s="112"/>
      <c r="AW279" s="112"/>
      <c r="AZ279" s="112"/>
    </row>
    <row r="280" ht="15.75" customHeight="1"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V280" s="112"/>
      <c r="AW280" s="112"/>
      <c r="AZ280" s="112"/>
    </row>
    <row r="281" ht="15.75" customHeight="1"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V281" s="112"/>
      <c r="AW281" s="112"/>
      <c r="AZ281" s="112"/>
    </row>
    <row r="282" ht="15.75" customHeight="1"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V282" s="112"/>
      <c r="AW282" s="112"/>
      <c r="AZ282" s="112"/>
    </row>
    <row r="283" ht="15.75" customHeight="1"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V283" s="112"/>
      <c r="AW283" s="112"/>
      <c r="AZ283" s="112"/>
    </row>
    <row r="284" ht="15.75" customHeight="1"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V284" s="112"/>
      <c r="AW284" s="112"/>
      <c r="AZ284" s="112"/>
    </row>
    <row r="285" ht="15.75" customHeight="1"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V285" s="112"/>
      <c r="AW285" s="112"/>
      <c r="AZ285" s="112"/>
    </row>
    <row r="286" ht="15.75" customHeight="1"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V286" s="112"/>
      <c r="AW286" s="112"/>
      <c r="AZ286" s="112"/>
    </row>
    <row r="287" ht="15.75" customHeight="1"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V287" s="112"/>
      <c r="AW287" s="112"/>
      <c r="AZ287" s="112"/>
    </row>
    <row r="288" ht="15.75" customHeight="1"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V288" s="112"/>
      <c r="AW288" s="112"/>
      <c r="AZ288" s="112"/>
    </row>
    <row r="289" ht="15.75" customHeight="1"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V289" s="112"/>
      <c r="AW289" s="112"/>
      <c r="AZ289" s="112"/>
    </row>
    <row r="290" ht="15.75" customHeight="1"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V290" s="112"/>
      <c r="AW290" s="112"/>
      <c r="AZ290" s="112"/>
    </row>
    <row r="291" ht="15.75" customHeight="1"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V291" s="112"/>
      <c r="AW291" s="112"/>
      <c r="AZ291" s="112"/>
    </row>
    <row r="292" ht="15.75" customHeight="1"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V292" s="112"/>
      <c r="AW292" s="112"/>
      <c r="AZ292" s="112"/>
    </row>
    <row r="293" ht="15.75" customHeight="1"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V293" s="112"/>
      <c r="AW293" s="112"/>
      <c r="AZ293" s="112"/>
    </row>
    <row r="294" ht="15.75" customHeight="1"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V294" s="112"/>
      <c r="AW294" s="112"/>
      <c r="AZ294" s="112"/>
    </row>
    <row r="295" ht="15.75" customHeight="1"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V295" s="112"/>
      <c r="AW295" s="112"/>
      <c r="AZ295" s="112"/>
    </row>
    <row r="296" ht="15.75" customHeight="1"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V296" s="112"/>
      <c r="AW296" s="112"/>
      <c r="AZ296" s="112"/>
    </row>
    <row r="297" ht="15.75" customHeight="1"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V297" s="112"/>
      <c r="AW297" s="112"/>
      <c r="AZ297" s="112"/>
    </row>
    <row r="298" ht="15.75" customHeight="1"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V298" s="112"/>
      <c r="AW298" s="112"/>
      <c r="AZ298" s="112"/>
    </row>
    <row r="299" ht="15.75" customHeight="1"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V299" s="112"/>
      <c r="AW299" s="112"/>
      <c r="AZ299" s="112"/>
    </row>
    <row r="300" ht="15.75" customHeight="1"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V300" s="112"/>
      <c r="AW300" s="112"/>
      <c r="AZ300" s="112"/>
    </row>
    <row r="301" ht="15.75" customHeight="1"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V301" s="112"/>
      <c r="AW301" s="112"/>
      <c r="AZ301" s="112"/>
    </row>
    <row r="302" ht="15.75" customHeight="1"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V302" s="112"/>
      <c r="AW302" s="112"/>
      <c r="AZ302" s="112"/>
    </row>
    <row r="303" ht="15.75" customHeight="1"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V303" s="112"/>
      <c r="AW303" s="112"/>
      <c r="AZ303" s="112"/>
    </row>
    <row r="304" ht="15.75" customHeight="1"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V304" s="112"/>
      <c r="AW304" s="112"/>
      <c r="AZ304" s="112"/>
    </row>
    <row r="305" ht="15.75" customHeight="1"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V305" s="112"/>
      <c r="AW305" s="112"/>
      <c r="AZ305" s="112"/>
    </row>
    <row r="306" ht="15.75" customHeight="1"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V306" s="112"/>
      <c r="AW306" s="112"/>
      <c r="AZ306" s="112"/>
    </row>
    <row r="307" ht="15.75" customHeight="1"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V307" s="112"/>
      <c r="AW307" s="112"/>
      <c r="AZ307" s="112"/>
    </row>
    <row r="308" ht="15.75" customHeight="1"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V308" s="112"/>
      <c r="AW308" s="112"/>
      <c r="AZ308" s="112"/>
    </row>
    <row r="309" ht="15.75" customHeight="1"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V309" s="112"/>
      <c r="AW309" s="112"/>
      <c r="AZ309" s="112"/>
    </row>
    <row r="310" ht="15.75" customHeight="1"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V310" s="112"/>
      <c r="AW310" s="112"/>
      <c r="AZ310" s="112"/>
    </row>
    <row r="311" ht="15.75" customHeight="1"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V311" s="112"/>
      <c r="AW311" s="112"/>
      <c r="AZ311" s="112"/>
    </row>
    <row r="312" ht="15.75" customHeight="1"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V312" s="112"/>
      <c r="AW312" s="112"/>
      <c r="AZ312" s="112"/>
    </row>
    <row r="313" ht="15.75" customHeight="1"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V313" s="112"/>
      <c r="AW313" s="112"/>
      <c r="AZ313" s="112"/>
    </row>
    <row r="314" ht="15.75" customHeight="1"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V314" s="112"/>
      <c r="AW314" s="112"/>
      <c r="AZ314" s="112"/>
    </row>
    <row r="315" ht="15.75" customHeight="1"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V315" s="112"/>
      <c r="AW315" s="112"/>
      <c r="AZ315" s="112"/>
    </row>
    <row r="316" ht="15.75" customHeight="1"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V316" s="112"/>
      <c r="AW316" s="112"/>
      <c r="AZ316" s="112"/>
    </row>
    <row r="317" ht="15.75" customHeight="1"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V317" s="112"/>
      <c r="AW317" s="112"/>
      <c r="AZ317" s="112"/>
    </row>
    <row r="318" ht="15.75" customHeight="1"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V318" s="112"/>
      <c r="AW318" s="112"/>
      <c r="AZ318" s="112"/>
    </row>
    <row r="319" ht="15.75" customHeight="1"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V319" s="112"/>
      <c r="AW319" s="112"/>
      <c r="AZ319" s="112"/>
    </row>
    <row r="320" ht="15.75" customHeight="1"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V320" s="112"/>
      <c r="AW320" s="112"/>
      <c r="AZ320" s="112"/>
    </row>
    <row r="321" ht="15.75" customHeight="1"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V321" s="112"/>
      <c r="AW321" s="112"/>
      <c r="AZ321" s="112"/>
    </row>
    <row r="322" ht="15.75" customHeight="1"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V322" s="112"/>
      <c r="AW322" s="112"/>
      <c r="AZ322" s="112"/>
    </row>
    <row r="323" ht="15.75" customHeight="1"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V323" s="112"/>
      <c r="AW323" s="112"/>
      <c r="AZ323" s="112"/>
    </row>
    <row r="324" ht="15.75" customHeight="1"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V324" s="112"/>
      <c r="AW324" s="112"/>
      <c r="AZ324" s="112"/>
    </row>
    <row r="325" ht="15.75" customHeight="1"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V325" s="112"/>
      <c r="AW325" s="112"/>
      <c r="AZ325" s="112"/>
    </row>
    <row r="326" ht="15.75" customHeight="1"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V326" s="112"/>
      <c r="AW326" s="112"/>
      <c r="AZ326" s="112"/>
    </row>
    <row r="327" ht="15.75" customHeight="1"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V327" s="112"/>
      <c r="AW327" s="112"/>
      <c r="AZ327" s="112"/>
    </row>
    <row r="328" ht="15.75" customHeight="1"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V328" s="112"/>
      <c r="AW328" s="112"/>
      <c r="AZ328" s="112"/>
    </row>
    <row r="329" ht="15.75" customHeight="1"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V329" s="112"/>
      <c r="AW329" s="112"/>
      <c r="AZ329" s="112"/>
    </row>
    <row r="330" ht="15.75" customHeight="1"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V330" s="112"/>
      <c r="AW330" s="112"/>
      <c r="AZ330" s="112"/>
    </row>
    <row r="331" ht="15.75" customHeight="1"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V331" s="112"/>
      <c r="AW331" s="112"/>
      <c r="AZ331" s="112"/>
    </row>
    <row r="332" ht="15.75" customHeight="1"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V332" s="112"/>
      <c r="AW332" s="112"/>
      <c r="AZ332" s="112"/>
    </row>
    <row r="333" ht="15.75" customHeight="1"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V333" s="112"/>
      <c r="AW333" s="112"/>
      <c r="AZ333" s="112"/>
    </row>
    <row r="334" ht="15.75" customHeight="1"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V334" s="112"/>
      <c r="AW334" s="112"/>
      <c r="AZ334" s="112"/>
    </row>
    <row r="335" ht="15.75" customHeight="1"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V335" s="112"/>
      <c r="AW335" s="112"/>
      <c r="AZ335" s="112"/>
    </row>
    <row r="336" ht="15.75" customHeight="1"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V336" s="112"/>
      <c r="AW336" s="112"/>
      <c r="AZ336" s="112"/>
    </row>
    <row r="337" ht="15.75" customHeight="1"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V337" s="112"/>
      <c r="AW337" s="112"/>
      <c r="AZ337" s="112"/>
    </row>
    <row r="338" ht="15.75" customHeight="1"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V338" s="112"/>
      <c r="AW338" s="112"/>
      <c r="AZ338" s="112"/>
    </row>
    <row r="339" ht="15.75" customHeight="1"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V339" s="112"/>
      <c r="AW339" s="112"/>
      <c r="AZ339" s="112"/>
    </row>
    <row r="340" ht="15.75" customHeight="1"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V340" s="112"/>
      <c r="AW340" s="112"/>
      <c r="AZ340" s="112"/>
    </row>
    <row r="341" ht="15.75" customHeight="1"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V341" s="112"/>
      <c r="AW341" s="112"/>
      <c r="AZ341" s="112"/>
    </row>
    <row r="342" ht="15.75" customHeight="1"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V342" s="112"/>
      <c r="AW342" s="112"/>
      <c r="AZ342" s="112"/>
    </row>
    <row r="343" ht="15.75" customHeight="1"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V343" s="112"/>
      <c r="AW343" s="112"/>
      <c r="AZ343" s="112"/>
    </row>
    <row r="344" ht="15.75" customHeight="1"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V344" s="112"/>
      <c r="AW344" s="112"/>
      <c r="AZ344" s="112"/>
    </row>
    <row r="345" ht="15.75" customHeight="1"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V345" s="112"/>
      <c r="AW345" s="112"/>
      <c r="AZ345" s="112"/>
    </row>
    <row r="346" ht="15.75" customHeight="1"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V346" s="112"/>
      <c r="AW346" s="112"/>
      <c r="AZ346" s="112"/>
    </row>
    <row r="347" ht="15.75" customHeight="1"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V347" s="112"/>
      <c r="AW347" s="112"/>
      <c r="AZ347" s="112"/>
    </row>
    <row r="348" ht="15.75" customHeight="1"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V348" s="112"/>
      <c r="AW348" s="112"/>
      <c r="AZ348" s="112"/>
    </row>
    <row r="349" ht="15.75" customHeight="1"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V349" s="112"/>
      <c r="AW349" s="112"/>
      <c r="AZ349" s="112"/>
    </row>
    <row r="350" ht="15.75" customHeight="1"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V350" s="112"/>
      <c r="AW350" s="112"/>
      <c r="AZ350" s="112"/>
    </row>
    <row r="351" ht="15.75" customHeight="1"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V351" s="112"/>
      <c r="AW351" s="112"/>
      <c r="AZ351" s="112"/>
    </row>
    <row r="352" ht="15.75" customHeight="1"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V352" s="112"/>
      <c r="AW352" s="112"/>
      <c r="AZ352" s="112"/>
    </row>
    <row r="353" ht="15.75" customHeight="1"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V353" s="112"/>
      <c r="AW353" s="112"/>
      <c r="AZ353" s="112"/>
    </row>
    <row r="354" ht="15.75" customHeight="1"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V354" s="112"/>
      <c r="AW354" s="112"/>
      <c r="AZ354" s="112"/>
    </row>
    <row r="355" ht="15.75" customHeight="1"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V355" s="112"/>
      <c r="AW355" s="112"/>
      <c r="AZ355" s="112"/>
    </row>
    <row r="356" ht="15.75" customHeight="1"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V356" s="112"/>
      <c r="AW356" s="112"/>
      <c r="AZ356" s="112"/>
    </row>
    <row r="357" ht="15.75" customHeight="1"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V357" s="112"/>
      <c r="AW357" s="112"/>
      <c r="AZ357" s="112"/>
    </row>
    <row r="358" ht="15.75" customHeight="1"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V358" s="112"/>
      <c r="AW358" s="112"/>
      <c r="AZ358" s="112"/>
    </row>
    <row r="359" ht="15.75" customHeight="1"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V359" s="112"/>
      <c r="AW359" s="112"/>
      <c r="AZ359" s="112"/>
    </row>
    <row r="360" ht="15.75" customHeight="1"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V360" s="112"/>
      <c r="AW360" s="112"/>
      <c r="AZ360" s="112"/>
    </row>
    <row r="361" ht="15.75" customHeight="1"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V361" s="112"/>
      <c r="AW361" s="112"/>
      <c r="AZ361" s="112"/>
    </row>
    <row r="362" ht="15.75" customHeight="1"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V362" s="112"/>
      <c r="AW362" s="112"/>
      <c r="AZ362" s="112"/>
    </row>
    <row r="363" ht="15.75" customHeight="1"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V363" s="112"/>
      <c r="AW363" s="112"/>
      <c r="AZ363" s="112"/>
    </row>
    <row r="364" ht="15.75" customHeight="1"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V364" s="112"/>
      <c r="AW364" s="112"/>
      <c r="AZ364" s="112"/>
    </row>
    <row r="365" ht="15.75" customHeight="1"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V365" s="112"/>
      <c r="AW365" s="112"/>
      <c r="AZ365" s="112"/>
    </row>
    <row r="366" ht="15.75" customHeight="1"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V366" s="112"/>
      <c r="AW366" s="112"/>
      <c r="AZ366" s="112"/>
    </row>
    <row r="367" ht="15.75" customHeight="1"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V367" s="112"/>
      <c r="AW367" s="112"/>
      <c r="AZ367" s="112"/>
    </row>
    <row r="368" ht="15.75" customHeight="1"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V368" s="112"/>
      <c r="AW368" s="112"/>
      <c r="AZ368" s="112"/>
    </row>
    <row r="369" ht="15.75" customHeight="1"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V369" s="112"/>
      <c r="AW369" s="112"/>
      <c r="AZ369" s="112"/>
    </row>
    <row r="370" ht="15.75" customHeight="1"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V370" s="112"/>
      <c r="AW370" s="112"/>
      <c r="AZ370" s="112"/>
    </row>
    <row r="371" ht="15.75" customHeight="1"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V371" s="112"/>
      <c r="AW371" s="112"/>
      <c r="AZ371" s="112"/>
    </row>
    <row r="372" ht="15.75" customHeight="1"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V372" s="112"/>
      <c r="AW372" s="112"/>
      <c r="AZ372" s="112"/>
    </row>
    <row r="373" ht="15.75" customHeight="1"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V373" s="112"/>
      <c r="AW373" s="112"/>
      <c r="AZ373" s="112"/>
    </row>
    <row r="374" ht="15.75" customHeight="1"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V374" s="112"/>
      <c r="AW374" s="112"/>
      <c r="AZ374" s="112"/>
    </row>
    <row r="375" ht="15.75" customHeight="1"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V375" s="112"/>
      <c r="AW375" s="112"/>
      <c r="AZ375" s="112"/>
    </row>
    <row r="376" ht="15.75" customHeight="1"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V376" s="112"/>
      <c r="AW376" s="112"/>
      <c r="AZ376" s="112"/>
    </row>
    <row r="377" ht="15.75" customHeight="1"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V377" s="112"/>
      <c r="AW377" s="112"/>
      <c r="AZ377" s="112"/>
    </row>
    <row r="378" ht="15.75" customHeight="1"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V378" s="112"/>
      <c r="AW378" s="112"/>
      <c r="AZ378" s="112"/>
    </row>
    <row r="379" ht="15.75" customHeight="1"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V379" s="112"/>
      <c r="AW379" s="112"/>
      <c r="AZ379" s="112"/>
    </row>
    <row r="380" ht="15.75" customHeight="1"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V380" s="112"/>
      <c r="AW380" s="112"/>
      <c r="AZ380" s="112"/>
    </row>
    <row r="381" ht="15.75" customHeight="1"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V381" s="112"/>
      <c r="AW381" s="112"/>
      <c r="AZ381" s="112"/>
    </row>
    <row r="382" ht="15.75" customHeight="1"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V382" s="112"/>
      <c r="AW382" s="112"/>
      <c r="AZ382" s="112"/>
    </row>
    <row r="383" ht="15.75" customHeight="1"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V383" s="112"/>
      <c r="AW383" s="112"/>
      <c r="AZ383" s="112"/>
    </row>
    <row r="384" ht="15.75" customHeight="1"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V384" s="112"/>
      <c r="AW384" s="112"/>
      <c r="AZ384" s="112"/>
    </row>
    <row r="385" ht="15.75" customHeight="1"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V385" s="112"/>
      <c r="AW385" s="112"/>
      <c r="AZ385" s="112"/>
    </row>
    <row r="386" ht="15.75" customHeight="1"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V386" s="112"/>
      <c r="AW386" s="112"/>
      <c r="AZ386" s="112"/>
    </row>
    <row r="387" ht="15.75" customHeight="1"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V387" s="112"/>
      <c r="AW387" s="112"/>
      <c r="AZ387" s="112"/>
    </row>
    <row r="388" ht="15.75" customHeight="1"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V388" s="112"/>
      <c r="AW388" s="112"/>
      <c r="AZ388" s="112"/>
    </row>
    <row r="389" ht="15.75" customHeight="1"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V389" s="112"/>
      <c r="AW389" s="112"/>
      <c r="AZ389" s="112"/>
    </row>
    <row r="390" ht="15.75" customHeight="1"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V390" s="112"/>
      <c r="AW390" s="112"/>
      <c r="AZ390" s="112"/>
    </row>
    <row r="391" ht="15.75" customHeight="1"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V391" s="112"/>
      <c r="AW391" s="112"/>
      <c r="AZ391" s="112"/>
    </row>
    <row r="392" ht="15.75" customHeight="1"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V392" s="112"/>
      <c r="AW392" s="112"/>
      <c r="AZ392" s="112"/>
    </row>
    <row r="393" ht="15.75" customHeight="1"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V393" s="112"/>
      <c r="AW393" s="112"/>
      <c r="AZ393" s="112"/>
    </row>
    <row r="394" ht="15.75" customHeight="1"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V394" s="112"/>
      <c r="AW394" s="112"/>
      <c r="AZ394" s="112"/>
    </row>
    <row r="395" ht="15.75" customHeight="1"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V395" s="112"/>
      <c r="AW395" s="112"/>
      <c r="AZ395" s="112"/>
    </row>
    <row r="396" ht="15.75" customHeight="1"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V396" s="112"/>
      <c r="AW396" s="112"/>
      <c r="AZ396" s="112"/>
    </row>
    <row r="397" ht="15.75" customHeight="1"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V397" s="112"/>
      <c r="AW397" s="112"/>
      <c r="AZ397" s="112"/>
    </row>
    <row r="398" ht="15.75" customHeight="1"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V398" s="112"/>
      <c r="AW398" s="112"/>
      <c r="AZ398" s="112"/>
    </row>
    <row r="399" ht="15.75" customHeight="1"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V399" s="112"/>
      <c r="AW399" s="112"/>
      <c r="AZ399" s="112"/>
    </row>
    <row r="400" ht="15.75" customHeight="1"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V400" s="112"/>
      <c r="AW400" s="112"/>
      <c r="AZ400" s="112"/>
    </row>
    <row r="401" ht="15.75" customHeight="1"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V401" s="112"/>
      <c r="AW401" s="112"/>
      <c r="AZ401" s="112"/>
    </row>
    <row r="402" ht="15.75" customHeight="1"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V402" s="112"/>
      <c r="AW402" s="112"/>
      <c r="AZ402" s="112"/>
    </row>
    <row r="403" ht="15.75" customHeight="1"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V403" s="112"/>
      <c r="AW403" s="112"/>
      <c r="AZ403" s="112"/>
    </row>
    <row r="404" ht="15.75" customHeight="1"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V404" s="112"/>
      <c r="AW404" s="112"/>
      <c r="AZ404" s="112"/>
    </row>
    <row r="405" ht="15.75" customHeight="1"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V405" s="112"/>
      <c r="AW405" s="112"/>
      <c r="AZ405" s="112"/>
    </row>
    <row r="406" ht="15.75" customHeight="1"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V406" s="112"/>
      <c r="AW406" s="112"/>
      <c r="AZ406" s="112"/>
    </row>
    <row r="407" ht="15.75" customHeight="1"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V407" s="112"/>
      <c r="AW407" s="112"/>
      <c r="AZ407" s="112"/>
    </row>
    <row r="408" ht="15.75" customHeight="1"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V408" s="112"/>
      <c r="AW408" s="112"/>
      <c r="AZ408" s="112"/>
    </row>
    <row r="409" ht="15.75" customHeight="1"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V409" s="112"/>
      <c r="AW409" s="112"/>
      <c r="AZ409" s="112"/>
    </row>
    <row r="410" ht="15.75" customHeight="1"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V410" s="112"/>
      <c r="AW410" s="112"/>
      <c r="AZ410" s="112"/>
    </row>
    <row r="411" ht="15.75" customHeight="1"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V411" s="112"/>
      <c r="AW411" s="112"/>
      <c r="AZ411" s="112"/>
    </row>
    <row r="412" ht="15.75" customHeight="1"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V412" s="112"/>
      <c r="AW412" s="112"/>
      <c r="AZ412" s="112"/>
    </row>
    <row r="413" ht="15.75" customHeight="1"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V413" s="112"/>
      <c r="AW413" s="112"/>
      <c r="AZ413" s="112"/>
    </row>
    <row r="414" ht="15.75" customHeight="1"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V414" s="112"/>
      <c r="AW414" s="112"/>
      <c r="AZ414" s="112"/>
    </row>
    <row r="415" ht="15.75" customHeight="1"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V415" s="112"/>
      <c r="AW415" s="112"/>
      <c r="AZ415" s="112"/>
    </row>
    <row r="416" ht="15.75" customHeight="1"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V416" s="112"/>
      <c r="AW416" s="112"/>
      <c r="AZ416" s="112"/>
    </row>
    <row r="417" ht="15.75" customHeight="1"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V417" s="112"/>
      <c r="AW417" s="112"/>
      <c r="AZ417" s="112"/>
    </row>
    <row r="418" ht="15.75" customHeight="1"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V418" s="112"/>
      <c r="AW418" s="112"/>
      <c r="AZ418" s="112"/>
    </row>
    <row r="419" ht="15.75" customHeight="1"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V419" s="112"/>
      <c r="AW419" s="112"/>
      <c r="AZ419" s="112"/>
    </row>
    <row r="420" ht="15.75" customHeight="1"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V420" s="112"/>
      <c r="AW420" s="112"/>
      <c r="AZ420" s="112"/>
    </row>
    <row r="421" ht="15.75" customHeight="1"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V421" s="112"/>
      <c r="AW421" s="112"/>
      <c r="AZ421" s="112"/>
    </row>
    <row r="422" ht="15.75" customHeight="1"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V422" s="112"/>
      <c r="AW422" s="112"/>
      <c r="AZ422" s="112"/>
    </row>
    <row r="423" ht="15.75" customHeight="1"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V423" s="112"/>
      <c r="AW423" s="112"/>
      <c r="AZ423" s="112"/>
    </row>
    <row r="424" ht="15.75" customHeight="1"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V424" s="112"/>
      <c r="AW424" s="112"/>
      <c r="AZ424" s="112"/>
    </row>
    <row r="425" ht="15.75" customHeight="1"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V425" s="112"/>
      <c r="AW425" s="112"/>
      <c r="AZ425" s="112"/>
    </row>
    <row r="426" ht="15.75" customHeight="1"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V426" s="112"/>
      <c r="AW426" s="112"/>
      <c r="AZ426" s="112"/>
    </row>
    <row r="427" ht="15.75" customHeight="1"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V427" s="112"/>
      <c r="AW427" s="112"/>
      <c r="AZ427" s="112"/>
    </row>
    <row r="428" ht="15.75" customHeight="1"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V428" s="112"/>
      <c r="AW428" s="112"/>
      <c r="AZ428" s="112"/>
    </row>
    <row r="429" ht="15.75" customHeight="1"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V429" s="112"/>
      <c r="AW429" s="112"/>
      <c r="AZ429" s="112"/>
    </row>
    <row r="430" ht="15.75" customHeight="1"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V430" s="112"/>
      <c r="AW430" s="112"/>
      <c r="AZ430" s="112"/>
    </row>
    <row r="431" ht="15.75" customHeight="1"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V431" s="112"/>
      <c r="AW431" s="112"/>
      <c r="AZ431" s="112"/>
    </row>
    <row r="432" ht="15.75" customHeight="1"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V432" s="112"/>
      <c r="AW432" s="112"/>
      <c r="AZ432" s="112"/>
    </row>
    <row r="433" ht="15.75" customHeight="1"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V433" s="112"/>
      <c r="AW433" s="112"/>
      <c r="AZ433" s="112"/>
    </row>
    <row r="434" ht="15.75" customHeight="1"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V434" s="112"/>
      <c r="AW434" s="112"/>
      <c r="AZ434" s="112"/>
    </row>
    <row r="435" ht="15.75" customHeight="1"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V435" s="112"/>
      <c r="AW435" s="112"/>
      <c r="AZ435" s="112"/>
    </row>
    <row r="436" ht="15.75" customHeight="1"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V436" s="112"/>
      <c r="AW436" s="112"/>
      <c r="AZ436" s="112"/>
    </row>
    <row r="437" ht="15.75" customHeight="1"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V437" s="112"/>
      <c r="AW437" s="112"/>
      <c r="AZ437" s="112"/>
    </row>
    <row r="438" ht="15.75" customHeight="1"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V438" s="112"/>
      <c r="AW438" s="112"/>
      <c r="AZ438" s="112"/>
    </row>
    <row r="439" ht="15.75" customHeight="1"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V439" s="112"/>
      <c r="AW439" s="112"/>
      <c r="AZ439" s="112"/>
    </row>
    <row r="440" ht="15.75" customHeight="1"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V440" s="112"/>
      <c r="AW440" s="112"/>
      <c r="AZ440" s="112"/>
    </row>
    <row r="441" ht="15.75" customHeight="1"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V441" s="112"/>
      <c r="AW441" s="112"/>
      <c r="AZ441" s="112"/>
    </row>
    <row r="442" ht="15.75" customHeight="1"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V442" s="112"/>
      <c r="AW442" s="112"/>
      <c r="AZ442" s="112"/>
    </row>
    <row r="443" ht="15.75" customHeight="1"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V443" s="112"/>
      <c r="AW443" s="112"/>
      <c r="AZ443" s="112"/>
    </row>
    <row r="444" ht="15.75" customHeight="1"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V444" s="112"/>
      <c r="AW444" s="112"/>
      <c r="AZ444" s="112"/>
    </row>
    <row r="445" ht="15.75" customHeight="1"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V445" s="112"/>
      <c r="AW445" s="112"/>
      <c r="AZ445" s="112"/>
    </row>
    <row r="446" ht="15.75" customHeight="1"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V446" s="112"/>
      <c r="AW446" s="112"/>
      <c r="AZ446" s="112"/>
    </row>
    <row r="447" ht="15.75" customHeight="1"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V447" s="112"/>
      <c r="AW447" s="112"/>
      <c r="AZ447" s="112"/>
    </row>
    <row r="448" ht="15.75" customHeight="1"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V448" s="112"/>
      <c r="AW448" s="112"/>
      <c r="AZ448" s="112"/>
    </row>
    <row r="449" ht="15.75" customHeight="1"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V449" s="112"/>
      <c r="AW449" s="112"/>
      <c r="AZ449" s="112"/>
    </row>
    <row r="450" ht="15.75" customHeight="1"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V450" s="112"/>
      <c r="AW450" s="112"/>
      <c r="AZ450" s="112"/>
    </row>
    <row r="451" ht="15.75" customHeight="1"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V451" s="112"/>
      <c r="AW451" s="112"/>
      <c r="AZ451" s="112"/>
    </row>
    <row r="452" ht="15.75" customHeight="1"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V452" s="112"/>
      <c r="AW452" s="112"/>
      <c r="AZ452" s="112"/>
    </row>
    <row r="453" ht="15.75" customHeight="1"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V453" s="112"/>
      <c r="AW453" s="112"/>
      <c r="AZ453" s="112"/>
    </row>
    <row r="454" ht="15.75" customHeight="1"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V454" s="112"/>
      <c r="AW454" s="112"/>
      <c r="AZ454" s="112"/>
    </row>
    <row r="455" ht="15.75" customHeight="1"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V455" s="112"/>
      <c r="AW455" s="112"/>
      <c r="AZ455" s="112"/>
    </row>
    <row r="456" ht="15.75" customHeight="1"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V456" s="112"/>
      <c r="AW456" s="112"/>
      <c r="AZ456" s="112"/>
    </row>
    <row r="457" ht="15.75" customHeight="1"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V457" s="112"/>
      <c r="AW457" s="112"/>
      <c r="AZ457" s="112"/>
    </row>
    <row r="458" ht="15.75" customHeight="1"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V458" s="112"/>
      <c r="AW458" s="112"/>
      <c r="AZ458" s="112"/>
    </row>
    <row r="459" ht="15.75" customHeight="1"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V459" s="112"/>
      <c r="AW459" s="112"/>
      <c r="AZ459" s="112"/>
    </row>
    <row r="460" ht="15.75" customHeight="1"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V460" s="112"/>
      <c r="AW460" s="112"/>
      <c r="AZ460" s="112"/>
    </row>
    <row r="461" ht="15.75" customHeight="1"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V461" s="112"/>
      <c r="AW461" s="112"/>
      <c r="AZ461" s="112"/>
    </row>
    <row r="462" ht="15.75" customHeight="1"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V462" s="112"/>
      <c r="AW462" s="112"/>
      <c r="AZ462" s="112"/>
    </row>
    <row r="463" ht="15.75" customHeight="1"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V463" s="112"/>
      <c r="AW463" s="112"/>
      <c r="AZ463" s="112"/>
    </row>
    <row r="464" ht="15.75" customHeight="1"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V464" s="112"/>
      <c r="AW464" s="112"/>
      <c r="AZ464" s="112"/>
    </row>
    <row r="465" ht="15.75" customHeight="1"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V465" s="112"/>
      <c r="AW465" s="112"/>
      <c r="AZ465" s="112"/>
    </row>
    <row r="466" ht="15.75" customHeight="1"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V466" s="112"/>
      <c r="AW466" s="112"/>
      <c r="AZ466" s="112"/>
    </row>
    <row r="467" ht="15.75" customHeight="1"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V467" s="112"/>
      <c r="AW467" s="112"/>
      <c r="AZ467" s="112"/>
    </row>
    <row r="468" ht="15.75" customHeight="1"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V468" s="112"/>
      <c r="AW468" s="112"/>
      <c r="AZ468" s="112"/>
    </row>
    <row r="469" ht="15.75" customHeight="1"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V469" s="112"/>
      <c r="AW469" s="112"/>
      <c r="AZ469" s="112"/>
    </row>
    <row r="470" ht="15.75" customHeight="1"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V470" s="112"/>
      <c r="AW470" s="112"/>
      <c r="AZ470" s="112"/>
    </row>
    <row r="471" ht="15.75" customHeight="1"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V471" s="112"/>
      <c r="AW471" s="112"/>
      <c r="AZ471" s="112"/>
    </row>
    <row r="472" ht="15.75" customHeight="1"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V472" s="112"/>
      <c r="AW472" s="112"/>
      <c r="AZ472" s="112"/>
    </row>
    <row r="473" ht="15.75" customHeight="1"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V473" s="112"/>
      <c r="AW473" s="112"/>
      <c r="AZ473" s="112"/>
    </row>
    <row r="474" ht="15.75" customHeight="1"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V474" s="112"/>
      <c r="AW474" s="112"/>
      <c r="AZ474" s="112"/>
    </row>
    <row r="475" ht="15.75" customHeight="1"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V475" s="112"/>
      <c r="AW475" s="112"/>
      <c r="AZ475" s="112"/>
    </row>
    <row r="476" ht="15.75" customHeight="1"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V476" s="112"/>
      <c r="AW476" s="112"/>
      <c r="AZ476" s="112"/>
    </row>
    <row r="477" ht="15.75" customHeight="1"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V477" s="112"/>
      <c r="AW477" s="112"/>
      <c r="AZ477" s="112"/>
    </row>
    <row r="478" ht="15.75" customHeight="1"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V478" s="112"/>
      <c r="AW478" s="112"/>
      <c r="AZ478" s="112"/>
    </row>
    <row r="479" ht="15.75" customHeight="1"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V479" s="112"/>
      <c r="AW479" s="112"/>
      <c r="AZ479" s="112"/>
    </row>
    <row r="480" ht="15.75" customHeight="1"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V480" s="112"/>
      <c r="AW480" s="112"/>
      <c r="AZ480" s="112"/>
    </row>
    <row r="481" ht="15.75" customHeight="1"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V481" s="112"/>
      <c r="AW481" s="112"/>
      <c r="AZ481" s="112"/>
    </row>
    <row r="482" ht="15.75" customHeight="1"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V482" s="112"/>
      <c r="AW482" s="112"/>
      <c r="AZ482" s="112"/>
    </row>
    <row r="483" ht="15.75" customHeight="1"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V483" s="112"/>
      <c r="AW483" s="112"/>
      <c r="AZ483" s="112"/>
    </row>
    <row r="484" ht="15.75" customHeight="1"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V484" s="112"/>
      <c r="AW484" s="112"/>
      <c r="AZ484" s="112"/>
    </row>
    <row r="485" ht="15.75" customHeight="1"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V485" s="112"/>
      <c r="AW485" s="112"/>
      <c r="AZ485" s="112"/>
    </row>
    <row r="486" ht="15.75" customHeight="1"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V486" s="112"/>
      <c r="AW486" s="112"/>
      <c r="AZ486" s="112"/>
    </row>
    <row r="487" ht="15.75" customHeight="1"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V487" s="112"/>
      <c r="AW487" s="112"/>
      <c r="AZ487" s="112"/>
    </row>
    <row r="488" ht="15.75" customHeight="1"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V488" s="112"/>
      <c r="AW488" s="112"/>
      <c r="AZ488" s="112"/>
    </row>
    <row r="489" ht="15.75" customHeight="1"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V489" s="112"/>
      <c r="AW489" s="112"/>
      <c r="AZ489" s="112"/>
    </row>
    <row r="490" ht="15.75" customHeight="1"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V490" s="112"/>
      <c r="AW490" s="112"/>
      <c r="AZ490" s="112"/>
    </row>
    <row r="491" ht="15.75" customHeight="1"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V491" s="112"/>
      <c r="AW491" s="112"/>
      <c r="AZ491" s="112"/>
    </row>
    <row r="492" ht="15.75" customHeight="1"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V492" s="112"/>
      <c r="AW492" s="112"/>
      <c r="AZ492" s="112"/>
    </row>
    <row r="493" ht="15.75" customHeight="1"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V493" s="112"/>
      <c r="AW493" s="112"/>
      <c r="AZ493" s="112"/>
    </row>
    <row r="494" ht="15.75" customHeight="1"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V494" s="112"/>
      <c r="AW494" s="112"/>
      <c r="AZ494" s="112"/>
    </row>
    <row r="495" ht="15.75" customHeight="1"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V495" s="112"/>
      <c r="AW495" s="112"/>
      <c r="AZ495" s="112"/>
    </row>
    <row r="496" ht="15.75" customHeight="1"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V496" s="112"/>
      <c r="AW496" s="112"/>
      <c r="AZ496" s="112"/>
    </row>
    <row r="497" ht="15.75" customHeight="1"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V497" s="112"/>
      <c r="AW497" s="112"/>
      <c r="AZ497" s="112"/>
    </row>
    <row r="498" ht="15.75" customHeight="1"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V498" s="112"/>
      <c r="AW498" s="112"/>
      <c r="AZ498" s="112"/>
    </row>
    <row r="499" ht="15.75" customHeight="1"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V499" s="112"/>
      <c r="AW499" s="112"/>
      <c r="AZ499" s="112"/>
    </row>
    <row r="500" ht="15.75" customHeight="1"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V500" s="112"/>
      <c r="AW500" s="112"/>
      <c r="AZ500" s="112"/>
    </row>
    <row r="501" ht="15.75" customHeight="1"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V501" s="112"/>
      <c r="AW501" s="112"/>
      <c r="AZ501" s="112"/>
    </row>
    <row r="502" ht="15.75" customHeight="1"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V502" s="112"/>
      <c r="AW502" s="112"/>
      <c r="AZ502" s="112"/>
    </row>
    <row r="503" ht="15.75" customHeight="1"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V503" s="112"/>
      <c r="AW503" s="112"/>
      <c r="AZ503" s="112"/>
    </row>
    <row r="504" ht="15.75" customHeight="1"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V504" s="112"/>
      <c r="AW504" s="112"/>
      <c r="AZ504" s="112"/>
    </row>
    <row r="505" ht="15.75" customHeight="1"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V505" s="112"/>
      <c r="AW505" s="112"/>
      <c r="AZ505" s="112"/>
    </row>
    <row r="506" ht="15.75" customHeight="1"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V506" s="112"/>
      <c r="AW506" s="112"/>
      <c r="AZ506" s="112"/>
    </row>
    <row r="507" ht="15.75" customHeight="1"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V507" s="112"/>
      <c r="AW507" s="112"/>
      <c r="AZ507" s="112"/>
    </row>
    <row r="508" ht="15.75" customHeight="1"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V508" s="112"/>
      <c r="AW508" s="112"/>
      <c r="AZ508" s="112"/>
    </row>
    <row r="509" ht="15.75" customHeight="1"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V509" s="112"/>
      <c r="AW509" s="112"/>
      <c r="AZ509" s="112"/>
    </row>
    <row r="510" ht="15.75" customHeight="1"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V510" s="112"/>
      <c r="AW510" s="112"/>
      <c r="AZ510" s="112"/>
    </row>
    <row r="511" ht="15.75" customHeight="1"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V511" s="112"/>
      <c r="AW511" s="112"/>
      <c r="AZ511" s="112"/>
    </row>
    <row r="512" ht="15.75" customHeight="1"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V512" s="112"/>
      <c r="AW512" s="112"/>
      <c r="AZ512" s="112"/>
    </row>
    <row r="513" ht="15.75" customHeight="1"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V513" s="112"/>
      <c r="AW513" s="112"/>
      <c r="AZ513" s="112"/>
    </row>
    <row r="514" ht="15.75" customHeight="1"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V514" s="112"/>
      <c r="AW514" s="112"/>
      <c r="AZ514" s="112"/>
    </row>
    <row r="515" ht="15.75" customHeight="1"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V515" s="112"/>
      <c r="AW515" s="112"/>
      <c r="AZ515" s="112"/>
    </row>
    <row r="516" ht="15.75" customHeight="1"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V516" s="112"/>
      <c r="AW516" s="112"/>
      <c r="AZ516" s="112"/>
    </row>
    <row r="517" ht="15.75" customHeight="1"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V517" s="112"/>
      <c r="AW517" s="112"/>
      <c r="AZ517" s="112"/>
    </row>
    <row r="518" ht="15.75" customHeight="1"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V518" s="112"/>
      <c r="AW518" s="112"/>
      <c r="AZ518" s="112"/>
    </row>
    <row r="519" ht="15.75" customHeight="1"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V519" s="112"/>
      <c r="AW519" s="112"/>
      <c r="AZ519" s="112"/>
    </row>
    <row r="520" ht="15.75" customHeight="1"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V520" s="112"/>
      <c r="AW520" s="112"/>
      <c r="AZ520" s="112"/>
    </row>
    <row r="521" ht="15.75" customHeight="1"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V521" s="112"/>
      <c r="AW521" s="112"/>
      <c r="AZ521" s="112"/>
    </row>
    <row r="522" ht="15.75" customHeight="1"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V522" s="112"/>
      <c r="AW522" s="112"/>
      <c r="AZ522" s="112"/>
    </row>
    <row r="523" ht="15.75" customHeight="1"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V523" s="112"/>
      <c r="AW523" s="112"/>
      <c r="AZ523" s="112"/>
    </row>
    <row r="524" ht="15.75" customHeight="1"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V524" s="112"/>
      <c r="AW524" s="112"/>
      <c r="AZ524" s="112"/>
    </row>
    <row r="525" ht="15.75" customHeight="1"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V525" s="112"/>
      <c r="AW525" s="112"/>
      <c r="AZ525" s="112"/>
    </row>
    <row r="526" ht="15.75" customHeight="1"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V526" s="112"/>
      <c r="AW526" s="112"/>
      <c r="AZ526" s="112"/>
    </row>
    <row r="527" ht="15.75" customHeight="1"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V527" s="112"/>
      <c r="AW527" s="112"/>
      <c r="AZ527" s="112"/>
    </row>
    <row r="528" ht="15.75" customHeight="1"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V528" s="112"/>
      <c r="AW528" s="112"/>
      <c r="AZ528" s="112"/>
    </row>
    <row r="529" ht="15.75" customHeight="1"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V529" s="112"/>
      <c r="AW529" s="112"/>
      <c r="AZ529" s="112"/>
    </row>
    <row r="530" ht="15.75" customHeight="1"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V530" s="112"/>
      <c r="AW530" s="112"/>
      <c r="AZ530" s="112"/>
    </row>
    <row r="531" ht="15.75" customHeight="1"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V531" s="112"/>
      <c r="AW531" s="112"/>
      <c r="AZ531" s="112"/>
    </row>
    <row r="532" ht="15.75" customHeight="1"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V532" s="112"/>
      <c r="AW532" s="112"/>
      <c r="AZ532" s="112"/>
    </row>
    <row r="533" ht="15.75" customHeight="1"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V533" s="112"/>
      <c r="AW533" s="112"/>
      <c r="AZ533" s="112"/>
    </row>
    <row r="534" ht="15.75" customHeight="1"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V534" s="112"/>
      <c r="AW534" s="112"/>
      <c r="AZ534" s="112"/>
    </row>
    <row r="535" ht="15.75" customHeight="1"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V535" s="112"/>
      <c r="AW535" s="112"/>
      <c r="AZ535" s="112"/>
    </row>
    <row r="536" ht="15.75" customHeight="1"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V536" s="112"/>
      <c r="AW536" s="112"/>
      <c r="AZ536" s="112"/>
    </row>
    <row r="537" ht="15.75" customHeight="1"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V537" s="112"/>
      <c r="AW537" s="112"/>
      <c r="AZ537" s="112"/>
    </row>
    <row r="538" ht="15.75" customHeight="1"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V538" s="112"/>
      <c r="AW538" s="112"/>
      <c r="AZ538" s="112"/>
    </row>
    <row r="539" ht="15.75" customHeight="1"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V539" s="112"/>
      <c r="AW539" s="112"/>
      <c r="AZ539" s="112"/>
    </row>
    <row r="540" ht="15.75" customHeight="1"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V540" s="112"/>
      <c r="AW540" s="112"/>
      <c r="AZ540" s="112"/>
    </row>
    <row r="541" ht="15.75" customHeight="1"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V541" s="112"/>
      <c r="AW541" s="112"/>
      <c r="AZ541" s="112"/>
    </row>
    <row r="542" ht="15.75" customHeight="1"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V542" s="112"/>
      <c r="AW542" s="112"/>
      <c r="AZ542" s="112"/>
    </row>
    <row r="543" ht="15.75" customHeight="1"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V543" s="112"/>
      <c r="AW543" s="112"/>
      <c r="AZ543" s="112"/>
    </row>
    <row r="544" ht="15.75" customHeight="1"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V544" s="112"/>
      <c r="AW544" s="112"/>
      <c r="AZ544" s="112"/>
    </row>
    <row r="545" ht="15.75" customHeight="1"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V545" s="112"/>
      <c r="AW545" s="112"/>
      <c r="AZ545" s="112"/>
    </row>
    <row r="546" ht="15.75" customHeight="1"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V546" s="112"/>
      <c r="AW546" s="112"/>
      <c r="AZ546" s="112"/>
    </row>
    <row r="547" ht="15.75" customHeight="1"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V547" s="112"/>
      <c r="AW547" s="112"/>
      <c r="AZ547" s="112"/>
    </row>
    <row r="548" ht="15.75" customHeight="1"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V548" s="112"/>
      <c r="AW548" s="112"/>
      <c r="AZ548" s="112"/>
    </row>
    <row r="549" ht="15.75" customHeight="1"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V549" s="112"/>
      <c r="AW549" s="112"/>
      <c r="AZ549" s="112"/>
    </row>
    <row r="550" ht="15.75" customHeight="1"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V550" s="112"/>
      <c r="AW550" s="112"/>
      <c r="AZ550" s="112"/>
    </row>
    <row r="551" ht="15.75" customHeight="1"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V551" s="112"/>
      <c r="AW551" s="112"/>
      <c r="AZ551" s="112"/>
    </row>
    <row r="552" ht="15.75" customHeight="1"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V552" s="112"/>
      <c r="AW552" s="112"/>
      <c r="AZ552" s="112"/>
    </row>
    <row r="553" ht="15.75" customHeight="1"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V553" s="112"/>
      <c r="AW553" s="112"/>
      <c r="AZ553" s="112"/>
    </row>
    <row r="554" ht="15.75" customHeight="1"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V554" s="112"/>
      <c r="AW554" s="112"/>
      <c r="AZ554" s="112"/>
    </row>
    <row r="555" ht="15.75" customHeight="1"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V555" s="112"/>
      <c r="AW555" s="112"/>
      <c r="AZ555" s="112"/>
    </row>
    <row r="556" ht="15.75" customHeight="1"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V556" s="112"/>
      <c r="AW556" s="112"/>
      <c r="AZ556" s="112"/>
    </row>
    <row r="557" ht="15.75" customHeight="1"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V557" s="112"/>
      <c r="AW557" s="112"/>
      <c r="AZ557" s="112"/>
    </row>
    <row r="558" ht="15.75" customHeight="1"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V558" s="112"/>
      <c r="AW558" s="112"/>
      <c r="AZ558" s="112"/>
    </row>
    <row r="559" ht="15.75" customHeight="1"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V559" s="112"/>
      <c r="AW559" s="112"/>
      <c r="AZ559" s="112"/>
    </row>
    <row r="560" ht="15.75" customHeight="1"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V560" s="112"/>
      <c r="AW560" s="112"/>
      <c r="AZ560" s="112"/>
    </row>
    <row r="561" ht="15.75" customHeight="1"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V561" s="112"/>
      <c r="AW561" s="112"/>
      <c r="AZ561" s="112"/>
    </row>
    <row r="562" ht="15.75" customHeight="1"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V562" s="112"/>
      <c r="AW562" s="112"/>
      <c r="AZ562" s="112"/>
    </row>
    <row r="563" ht="15.75" customHeight="1"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V563" s="112"/>
      <c r="AW563" s="112"/>
      <c r="AZ563" s="112"/>
    </row>
    <row r="564" ht="15.75" customHeight="1"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V564" s="112"/>
      <c r="AW564" s="112"/>
      <c r="AZ564" s="112"/>
    </row>
    <row r="565" ht="15.75" customHeight="1"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V565" s="112"/>
      <c r="AW565" s="112"/>
      <c r="AZ565" s="112"/>
    </row>
    <row r="566" ht="15.75" customHeight="1"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V566" s="112"/>
      <c r="AW566" s="112"/>
      <c r="AZ566" s="112"/>
    </row>
    <row r="567" ht="15.75" customHeight="1"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V567" s="112"/>
      <c r="AW567" s="112"/>
      <c r="AZ567" s="112"/>
    </row>
    <row r="568" ht="15.75" customHeight="1"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V568" s="112"/>
      <c r="AW568" s="112"/>
      <c r="AZ568" s="112"/>
    </row>
    <row r="569" ht="15.75" customHeight="1"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V569" s="112"/>
      <c r="AW569" s="112"/>
      <c r="AZ569" s="112"/>
    </row>
    <row r="570" ht="15.75" customHeight="1"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V570" s="112"/>
      <c r="AW570" s="112"/>
      <c r="AZ570" s="112"/>
    </row>
    <row r="571" ht="15.75" customHeight="1"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V571" s="112"/>
      <c r="AW571" s="112"/>
      <c r="AZ571" s="112"/>
    </row>
    <row r="572" ht="15.75" customHeight="1"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V572" s="112"/>
      <c r="AW572" s="112"/>
      <c r="AZ572" s="112"/>
    </row>
    <row r="573" ht="15.75" customHeight="1"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V573" s="112"/>
      <c r="AW573" s="112"/>
      <c r="AZ573" s="112"/>
    </row>
    <row r="574" ht="15.75" customHeight="1"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V574" s="112"/>
      <c r="AW574" s="112"/>
      <c r="AZ574" s="112"/>
    </row>
    <row r="575" ht="15.75" customHeight="1"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V575" s="112"/>
      <c r="AW575" s="112"/>
      <c r="AZ575" s="112"/>
    </row>
    <row r="576" ht="15.75" customHeight="1"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V576" s="112"/>
      <c r="AW576" s="112"/>
      <c r="AZ576" s="112"/>
    </row>
    <row r="577" ht="15.75" customHeight="1"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V577" s="112"/>
      <c r="AW577" s="112"/>
      <c r="AZ577" s="112"/>
    </row>
    <row r="578" ht="15.75" customHeight="1"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V578" s="112"/>
      <c r="AW578" s="112"/>
      <c r="AZ578" s="112"/>
    </row>
    <row r="579" ht="15.75" customHeight="1"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V579" s="112"/>
      <c r="AW579" s="112"/>
      <c r="AZ579" s="112"/>
    </row>
    <row r="580" ht="15.75" customHeight="1"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V580" s="112"/>
      <c r="AW580" s="112"/>
      <c r="AZ580" s="112"/>
    </row>
    <row r="581" ht="15.75" customHeight="1"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V581" s="112"/>
      <c r="AW581" s="112"/>
      <c r="AZ581" s="112"/>
    </row>
    <row r="582" ht="15.75" customHeight="1"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V582" s="112"/>
      <c r="AW582" s="112"/>
      <c r="AZ582" s="112"/>
    </row>
    <row r="583" ht="15.75" customHeight="1"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V583" s="112"/>
      <c r="AW583" s="112"/>
      <c r="AZ583" s="112"/>
    </row>
    <row r="584" ht="15.75" customHeight="1"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V584" s="112"/>
      <c r="AW584" s="112"/>
      <c r="AZ584" s="112"/>
    </row>
    <row r="585" ht="15.75" customHeight="1"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V585" s="112"/>
      <c r="AW585" s="112"/>
      <c r="AZ585" s="112"/>
    </row>
    <row r="586" ht="15.75" customHeight="1"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V586" s="112"/>
      <c r="AW586" s="112"/>
      <c r="AZ586" s="112"/>
    </row>
    <row r="587" ht="15.75" customHeight="1"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V587" s="112"/>
      <c r="AW587" s="112"/>
      <c r="AZ587" s="112"/>
    </row>
    <row r="588" ht="15.75" customHeight="1"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V588" s="112"/>
      <c r="AW588" s="112"/>
      <c r="AZ588" s="112"/>
    </row>
    <row r="589" ht="15.75" customHeight="1"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V589" s="112"/>
      <c r="AW589" s="112"/>
      <c r="AZ589" s="112"/>
    </row>
    <row r="590" ht="15.75" customHeight="1"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V590" s="112"/>
      <c r="AW590" s="112"/>
      <c r="AZ590" s="112"/>
    </row>
    <row r="591" ht="15.75" customHeight="1"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V591" s="112"/>
      <c r="AW591" s="112"/>
      <c r="AZ591" s="112"/>
    </row>
    <row r="592" ht="15.75" customHeight="1"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V592" s="112"/>
      <c r="AW592" s="112"/>
      <c r="AZ592" s="112"/>
    </row>
    <row r="593" ht="15.75" customHeight="1"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V593" s="112"/>
      <c r="AW593" s="112"/>
      <c r="AZ593" s="112"/>
    </row>
    <row r="594" ht="15.75" customHeight="1"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V594" s="112"/>
      <c r="AW594" s="112"/>
      <c r="AZ594" s="112"/>
    </row>
    <row r="595" ht="15.75" customHeight="1"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V595" s="112"/>
      <c r="AW595" s="112"/>
      <c r="AZ595" s="112"/>
    </row>
    <row r="596" ht="15.75" customHeight="1"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V596" s="112"/>
      <c r="AW596" s="112"/>
      <c r="AZ596" s="112"/>
    </row>
    <row r="597" ht="15.75" customHeight="1"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V597" s="112"/>
      <c r="AW597" s="112"/>
      <c r="AZ597" s="112"/>
    </row>
    <row r="598" ht="15.75" customHeight="1"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V598" s="112"/>
      <c r="AW598" s="112"/>
      <c r="AZ598" s="112"/>
    </row>
    <row r="599" ht="15.75" customHeight="1"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V599" s="112"/>
      <c r="AW599" s="112"/>
      <c r="AZ599" s="112"/>
    </row>
    <row r="600" ht="15.75" customHeight="1"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V600" s="112"/>
      <c r="AW600" s="112"/>
      <c r="AZ600" s="112"/>
    </row>
    <row r="601" ht="15.75" customHeight="1"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V601" s="112"/>
      <c r="AW601" s="112"/>
      <c r="AZ601" s="112"/>
    </row>
    <row r="602" ht="15.75" customHeight="1"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V602" s="112"/>
      <c r="AW602" s="112"/>
      <c r="AZ602" s="112"/>
    </row>
    <row r="603" ht="15.75" customHeight="1"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V603" s="112"/>
      <c r="AW603" s="112"/>
      <c r="AZ603" s="112"/>
    </row>
    <row r="604" ht="15.75" customHeight="1"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V604" s="112"/>
      <c r="AW604" s="112"/>
      <c r="AZ604" s="112"/>
    </row>
    <row r="605" ht="15.75" customHeight="1"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V605" s="112"/>
      <c r="AW605" s="112"/>
      <c r="AZ605" s="112"/>
    </row>
    <row r="606" ht="15.75" customHeight="1"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V606" s="112"/>
      <c r="AW606" s="112"/>
      <c r="AZ606" s="112"/>
    </row>
    <row r="607" ht="15.75" customHeight="1"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V607" s="112"/>
      <c r="AW607" s="112"/>
      <c r="AZ607" s="112"/>
    </row>
    <row r="608" ht="15.75" customHeight="1"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V608" s="112"/>
      <c r="AW608" s="112"/>
      <c r="AZ608" s="112"/>
    </row>
    <row r="609" ht="15.75" customHeight="1"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V609" s="112"/>
      <c r="AW609" s="112"/>
      <c r="AZ609" s="112"/>
    </row>
    <row r="610" ht="15.75" customHeight="1"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V610" s="112"/>
      <c r="AW610" s="112"/>
      <c r="AZ610" s="112"/>
    </row>
    <row r="611" ht="15.75" customHeight="1"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V611" s="112"/>
      <c r="AW611" s="112"/>
      <c r="AZ611" s="112"/>
    </row>
    <row r="612" ht="15.75" customHeight="1"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V612" s="112"/>
      <c r="AW612" s="112"/>
      <c r="AZ612" s="112"/>
    </row>
    <row r="613" ht="15.75" customHeight="1"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V613" s="112"/>
      <c r="AW613" s="112"/>
      <c r="AZ613" s="112"/>
    </row>
    <row r="614" ht="15.75" customHeight="1"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V614" s="112"/>
      <c r="AW614" s="112"/>
      <c r="AZ614" s="112"/>
    </row>
    <row r="615" ht="15.75" customHeight="1"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V615" s="112"/>
      <c r="AW615" s="112"/>
      <c r="AZ615" s="112"/>
    </row>
    <row r="616" ht="15.75" customHeight="1"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V616" s="112"/>
      <c r="AW616" s="112"/>
      <c r="AZ616" s="112"/>
    </row>
    <row r="617" ht="15.75" customHeight="1"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V617" s="112"/>
      <c r="AW617" s="112"/>
      <c r="AZ617" s="112"/>
    </row>
    <row r="618" ht="15.75" customHeight="1"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V618" s="112"/>
      <c r="AW618" s="112"/>
      <c r="AZ618" s="112"/>
    </row>
    <row r="619" ht="15.75" customHeight="1"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V619" s="112"/>
      <c r="AW619" s="112"/>
      <c r="AZ619" s="112"/>
    </row>
    <row r="620" ht="15.75" customHeight="1"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V620" s="112"/>
      <c r="AW620" s="112"/>
      <c r="AZ620" s="112"/>
    </row>
    <row r="621" ht="15.75" customHeight="1"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V621" s="112"/>
      <c r="AW621" s="112"/>
      <c r="AZ621" s="112"/>
    </row>
    <row r="622" ht="15.75" customHeight="1"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V622" s="112"/>
      <c r="AW622" s="112"/>
      <c r="AZ622" s="112"/>
    </row>
    <row r="623" ht="15.75" customHeight="1"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V623" s="112"/>
      <c r="AW623" s="112"/>
      <c r="AZ623" s="112"/>
    </row>
    <row r="624" ht="15.75" customHeight="1"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V624" s="112"/>
      <c r="AW624" s="112"/>
      <c r="AZ624" s="112"/>
    </row>
    <row r="625" ht="15.75" customHeight="1"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V625" s="112"/>
      <c r="AW625" s="112"/>
      <c r="AZ625" s="112"/>
    </row>
    <row r="626" ht="15.75" customHeight="1"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V626" s="112"/>
      <c r="AW626" s="112"/>
      <c r="AZ626" s="112"/>
    </row>
    <row r="627" ht="15.75" customHeight="1"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V627" s="112"/>
      <c r="AW627" s="112"/>
      <c r="AZ627" s="112"/>
    </row>
    <row r="628" ht="15.75" customHeight="1"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V628" s="112"/>
      <c r="AW628" s="112"/>
      <c r="AZ628" s="112"/>
    </row>
    <row r="629" ht="15.75" customHeight="1"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V629" s="112"/>
      <c r="AW629" s="112"/>
      <c r="AZ629" s="112"/>
    </row>
    <row r="630" ht="15.75" customHeight="1"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V630" s="112"/>
      <c r="AW630" s="112"/>
      <c r="AZ630" s="112"/>
    </row>
    <row r="631" ht="15.75" customHeight="1"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V631" s="112"/>
      <c r="AW631" s="112"/>
      <c r="AZ631" s="112"/>
    </row>
    <row r="632" ht="15.75" customHeight="1"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V632" s="112"/>
      <c r="AW632" s="112"/>
      <c r="AZ632" s="112"/>
    </row>
    <row r="633" ht="15.75" customHeight="1"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V633" s="112"/>
      <c r="AW633" s="112"/>
      <c r="AZ633" s="112"/>
    </row>
    <row r="634" ht="15.75" customHeight="1"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V634" s="112"/>
      <c r="AW634" s="112"/>
      <c r="AZ634" s="112"/>
    </row>
    <row r="635" ht="15.75" customHeight="1"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V635" s="112"/>
      <c r="AW635" s="112"/>
      <c r="AZ635" s="112"/>
    </row>
    <row r="636" ht="15.75" customHeight="1"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V636" s="112"/>
      <c r="AW636" s="112"/>
      <c r="AZ636" s="112"/>
    </row>
    <row r="637" ht="15.75" customHeight="1"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V637" s="112"/>
      <c r="AW637" s="112"/>
      <c r="AZ637" s="112"/>
    </row>
    <row r="638" ht="15.75" customHeight="1"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V638" s="112"/>
      <c r="AW638" s="112"/>
      <c r="AZ638" s="112"/>
    </row>
    <row r="639" ht="15.75" customHeight="1"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V639" s="112"/>
      <c r="AW639" s="112"/>
      <c r="AZ639" s="112"/>
    </row>
    <row r="640" ht="15.75" customHeight="1"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V640" s="112"/>
      <c r="AW640" s="112"/>
      <c r="AZ640" s="112"/>
    </row>
    <row r="641" ht="15.75" customHeight="1"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V641" s="112"/>
      <c r="AW641" s="112"/>
      <c r="AZ641" s="112"/>
    </row>
    <row r="642" ht="15.75" customHeight="1"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V642" s="112"/>
      <c r="AW642" s="112"/>
      <c r="AZ642" s="112"/>
    </row>
    <row r="643" ht="15.75" customHeight="1"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V643" s="112"/>
      <c r="AW643" s="112"/>
      <c r="AZ643" s="112"/>
    </row>
    <row r="644" ht="15.75" customHeight="1"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V644" s="112"/>
      <c r="AW644" s="112"/>
      <c r="AZ644" s="112"/>
    </row>
    <row r="645" ht="15.75" customHeight="1"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V645" s="112"/>
      <c r="AW645" s="112"/>
      <c r="AZ645" s="112"/>
    </row>
    <row r="646" ht="15.75" customHeight="1"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V646" s="112"/>
      <c r="AW646" s="112"/>
      <c r="AZ646" s="112"/>
    </row>
    <row r="647" ht="15.75" customHeight="1"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V647" s="112"/>
      <c r="AW647" s="112"/>
      <c r="AZ647" s="112"/>
    </row>
    <row r="648" ht="15.75" customHeight="1"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V648" s="112"/>
      <c r="AW648" s="112"/>
      <c r="AZ648" s="112"/>
    </row>
    <row r="649" ht="15.75" customHeight="1"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V649" s="112"/>
      <c r="AW649" s="112"/>
      <c r="AZ649" s="112"/>
    </row>
    <row r="650" ht="15.75" customHeight="1"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V650" s="112"/>
      <c r="AW650" s="112"/>
      <c r="AZ650" s="112"/>
    </row>
    <row r="651" ht="15.75" customHeight="1"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V651" s="112"/>
      <c r="AW651" s="112"/>
      <c r="AZ651" s="112"/>
    </row>
    <row r="652" ht="15.75" customHeight="1"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V652" s="112"/>
      <c r="AW652" s="112"/>
      <c r="AZ652" s="112"/>
    </row>
    <row r="653" ht="15.75" customHeight="1"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V653" s="112"/>
      <c r="AW653" s="112"/>
      <c r="AZ653" s="112"/>
    </row>
    <row r="654" ht="15.75" customHeight="1"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V654" s="112"/>
      <c r="AW654" s="112"/>
      <c r="AZ654" s="112"/>
    </row>
    <row r="655" ht="15.75" customHeight="1"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V655" s="112"/>
      <c r="AW655" s="112"/>
      <c r="AZ655" s="112"/>
    </row>
    <row r="656" ht="15.75" customHeight="1"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V656" s="112"/>
      <c r="AW656" s="112"/>
      <c r="AZ656" s="112"/>
    </row>
    <row r="657" ht="15.75" customHeight="1"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V657" s="112"/>
      <c r="AW657" s="112"/>
      <c r="AZ657" s="112"/>
    </row>
    <row r="658" ht="15.75" customHeight="1"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V658" s="112"/>
      <c r="AW658" s="112"/>
      <c r="AZ658" s="112"/>
    </row>
    <row r="659" ht="15.75" customHeight="1"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V659" s="112"/>
      <c r="AW659" s="112"/>
      <c r="AZ659" s="112"/>
    </row>
    <row r="660" ht="15.75" customHeight="1"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V660" s="112"/>
      <c r="AW660" s="112"/>
      <c r="AZ660" s="112"/>
    </row>
    <row r="661" ht="15.75" customHeight="1"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V661" s="112"/>
      <c r="AW661" s="112"/>
      <c r="AZ661" s="112"/>
    </row>
    <row r="662" ht="15.75" customHeight="1"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V662" s="112"/>
      <c r="AW662" s="112"/>
      <c r="AZ662" s="112"/>
    </row>
    <row r="663" ht="15.75" customHeight="1"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V663" s="112"/>
      <c r="AW663" s="112"/>
      <c r="AZ663" s="112"/>
    </row>
    <row r="664" ht="15.75" customHeight="1"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V664" s="112"/>
      <c r="AW664" s="112"/>
      <c r="AZ664" s="112"/>
    </row>
    <row r="665" ht="15.75" customHeight="1"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V665" s="112"/>
      <c r="AW665" s="112"/>
      <c r="AZ665" s="112"/>
    </row>
    <row r="666" ht="15.75" customHeight="1"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V666" s="112"/>
      <c r="AW666" s="112"/>
      <c r="AZ666" s="112"/>
    </row>
    <row r="667" ht="15.75" customHeight="1"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V667" s="112"/>
      <c r="AW667" s="112"/>
      <c r="AZ667" s="112"/>
    </row>
    <row r="668" ht="15.75" customHeight="1"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V668" s="112"/>
      <c r="AW668" s="112"/>
      <c r="AZ668" s="112"/>
    </row>
    <row r="669" ht="15.75" customHeight="1"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V669" s="112"/>
      <c r="AW669" s="112"/>
      <c r="AZ669" s="112"/>
    </row>
    <row r="670" ht="15.75" customHeight="1"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V670" s="112"/>
      <c r="AW670" s="112"/>
      <c r="AZ670" s="112"/>
    </row>
    <row r="671" ht="15.75" customHeight="1"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V671" s="112"/>
      <c r="AW671" s="112"/>
      <c r="AZ671" s="112"/>
    </row>
    <row r="672" ht="15.75" customHeight="1"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V672" s="112"/>
      <c r="AW672" s="112"/>
      <c r="AZ672" s="112"/>
    </row>
    <row r="673" ht="15.75" customHeight="1"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V673" s="112"/>
      <c r="AW673" s="112"/>
      <c r="AZ673" s="112"/>
    </row>
    <row r="674" ht="15.75" customHeight="1"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V674" s="112"/>
      <c r="AW674" s="112"/>
      <c r="AZ674" s="112"/>
    </row>
    <row r="675" ht="15.75" customHeight="1"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V675" s="112"/>
      <c r="AW675" s="112"/>
      <c r="AZ675" s="112"/>
    </row>
    <row r="676" ht="15.75" customHeight="1"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V676" s="112"/>
      <c r="AW676" s="112"/>
      <c r="AZ676" s="112"/>
    </row>
    <row r="677" ht="15.75" customHeight="1"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V677" s="112"/>
      <c r="AW677" s="112"/>
      <c r="AZ677" s="112"/>
    </row>
    <row r="678" ht="15.75" customHeight="1"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V678" s="112"/>
      <c r="AW678" s="112"/>
      <c r="AZ678" s="112"/>
    </row>
    <row r="679" ht="15.75" customHeight="1"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V679" s="112"/>
      <c r="AW679" s="112"/>
      <c r="AZ679" s="112"/>
    </row>
    <row r="680" ht="15.75" customHeight="1"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V680" s="112"/>
      <c r="AW680" s="112"/>
      <c r="AZ680" s="112"/>
    </row>
    <row r="681" ht="15.75" customHeight="1"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V681" s="112"/>
      <c r="AW681" s="112"/>
      <c r="AZ681" s="112"/>
    </row>
    <row r="682" ht="15.75" customHeight="1"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V682" s="112"/>
      <c r="AW682" s="112"/>
      <c r="AZ682" s="112"/>
    </row>
    <row r="683" ht="15.75" customHeight="1"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V683" s="112"/>
      <c r="AW683" s="112"/>
      <c r="AZ683" s="112"/>
    </row>
    <row r="684" ht="15.75" customHeight="1"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V684" s="112"/>
      <c r="AW684" s="112"/>
      <c r="AZ684" s="112"/>
    </row>
    <row r="685" ht="15.75" customHeight="1"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V685" s="112"/>
      <c r="AW685" s="112"/>
      <c r="AZ685" s="112"/>
    </row>
    <row r="686" ht="15.75" customHeight="1"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V686" s="112"/>
      <c r="AW686" s="112"/>
      <c r="AZ686" s="112"/>
    </row>
    <row r="687" ht="15.75" customHeight="1"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V687" s="112"/>
      <c r="AW687" s="112"/>
      <c r="AZ687" s="112"/>
    </row>
    <row r="688" ht="15.75" customHeight="1"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V688" s="112"/>
      <c r="AW688" s="112"/>
      <c r="AZ688" s="112"/>
    </row>
    <row r="689" ht="15.75" customHeight="1"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V689" s="112"/>
      <c r="AW689" s="112"/>
      <c r="AZ689" s="112"/>
    </row>
    <row r="690" ht="15.75" customHeight="1"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V690" s="112"/>
      <c r="AW690" s="112"/>
      <c r="AZ690" s="112"/>
    </row>
    <row r="691" ht="15.75" customHeight="1"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V691" s="112"/>
      <c r="AW691" s="112"/>
      <c r="AZ691" s="112"/>
    </row>
    <row r="692" ht="15.75" customHeight="1"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V692" s="112"/>
      <c r="AW692" s="112"/>
      <c r="AZ692" s="112"/>
    </row>
    <row r="693" ht="15.75" customHeight="1"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V693" s="112"/>
      <c r="AW693" s="112"/>
      <c r="AZ693" s="112"/>
    </row>
    <row r="694" ht="15.75" customHeight="1"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V694" s="112"/>
      <c r="AW694" s="112"/>
      <c r="AZ694" s="112"/>
    </row>
    <row r="695" ht="15.75" customHeight="1"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V695" s="112"/>
      <c r="AW695" s="112"/>
      <c r="AZ695" s="112"/>
    </row>
    <row r="696" ht="15.75" customHeight="1"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V696" s="112"/>
      <c r="AW696" s="112"/>
      <c r="AZ696" s="112"/>
    </row>
    <row r="697" ht="15.75" customHeight="1"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V697" s="112"/>
      <c r="AW697" s="112"/>
      <c r="AZ697" s="112"/>
    </row>
    <row r="698" ht="15.75" customHeight="1"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V698" s="112"/>
      <c r="AW698" s="112"/>
      <c r="AZ698" s="112"/>
    </row>
    <row r="699" ht="15.75" customHeight="1"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V699" s="112"/>
      <c r="AW699" s="112"/>
      <c r="AZ699" s="112"/>
    </row>
    <row r="700" ht="15.75" customHeight="1"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V700" s="112"/>
      <c r="AW700" s="112"/>
      <c r="AZ700" s="112"/>
    </row>
    <row r="701" ht="15.75" customHeight="1"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V701" s="112"/>
      <c r="AW701" s="112"/>
      <c r="AZ701" s="112"/>
    </row>
    <row r="702" ht="15.75" customHeight="1"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V702" s="112"/>
      <c r="AW702" s="112"/>
      <c r="AZ702" s="112"/>
    </row>
    <row r="703" ht="15.75" customHeight="1"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V703" s="112"/>
      <c r="AW703" s="112"/>
      <c r="AZ703" s="112"/>
    </row>
    <row r="704" ht="15.75" customHeight="1"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V704" s="112"/>
      <c r="AW704" s="112"/>
      <c r="AZ704" s="112"/>
    </row>
    <row r="705" ht="15.75" customHeight="1"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V705" s="112"/>
      <c r="AW705" s="112"/>
      <c r="AZ705" s="112"/>
    </row>
    <row r="706" ht="15.75" customHeight="1"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V706" s="112"/>
      <c r="AW706" s="112"/>
      <c r="AZ706" s="112"/>
    </row>
    <row r="707" ht="15.75" customHeight="1"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V707" s="112"/>
      <c r="AW707" s="112"/>
      <c r="AZ707" s="112"/>
    </row>
    <row r="708" ht="15.75" customHeight="1"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V708" s="112"/>
      <c r="AW708" s="112"/>
      <c r="AZ708" s="112"/>
    </row>
    <row r="709" ht="15.75" customHeight="1"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V709" s="112"/>
      <c r="AW709" s="112"/>
      <c r="AZ709" s="112"/>
    </row>
    <row r="710" ht="15.75" customHeight="1"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V710" s="112"/>
      <c r="AW710" s="112"/>
      <c r="AZ710" s="112"/>
    </row>
    <row r="711" ht="15.75" customHeight="1"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V711" s="112"/>
      <c r="AW711" s="112"/>
      <c r="AZ711" s="112"/>
    </row>
    <row r="712" ht="15.75" customHeight="1"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V712" s="112"/>
      <c r="AW712" s="112"/>
      <c r="AZ712" s="112"/>
    </row>
    <row r="713" ht="15.75" customHeight="1"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V713" s="112"/>
      <c r="AW713" s="112"/>
      <c r="AZ713" s="112"/>
    </row>
    <row r="714" ht="15.75" customHeight="1"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V714" s="112"/>
      <c r="AW714" s="112"/>
      <c r="AZ714" s="112"/>
    </row>
    <row r="715" ht="15.75" customHeight="1"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V715" s="112"/>
      <c r="AW715" s="112"/>
      <c r="AZ715" s="112"/>
    </row>
    <row r="716" ht="15.75" customHeight="1"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V716" s="112"/>
      <c r="AW716" s="112"/>
      <c r="AZ716" s="112"/>
    </row>
    <row r="717" ht="15.75" customHeight="1"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V717" s="112"/>
      <c r="AW717" s="112"/>
      <c r="AZ717" s="112"/>
    </row>
    <row r="718" ht="15.75" customHeight="1"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V718" s="112"/>
      <c r="AW718" s="112"/>
      <c r="AZ718" s="112"/>
    </row>
    <row r="719" ht="15.75" customHeight="1"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V719" s="112"/>
      <c r="AW719" s="112"/>
      <c r="AZ719" s="112"/>
    </row>
    <row r="720" ht="15.75" customHeight="1"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V720" s="112"/>
      <c r="AW720" s="112"/>
      <c r="AZ720" s="112"/>
    </row>
    <row r="721" ht="15.75" customHeight="1"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V721" s="112"/>
      <c r="AW721" s="112"/>
      <c r="AZ721" s="112"/>
    </row>
    <row r="722" ht="15.75" customHeight="1"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V722" s="112"/>
      <c r="AW722" s="112"/>
      <c r="AZ722" s="112"/>
    </row>
    <row r="723" ht="15.75" customHeight="1"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V723" s="112"/>
      <c r="AW723" s="112"/>
      <c r="AZ723" s="112"/>
    </row>
    <row r="724" ht="15.75" customHeight="1"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V724" s="112"/>
      <c r="AW724" s="112"/>
      <c r="AZ724" s="112"/>
    </row>
    <row r="725" ht="15.75" customHeight="1"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V725" s="112"/>
      <c r="AW725" s="112"/>
      <c r="AZ725" s="112"/>
    </row>
    <row r="726" ht="15.75" customHeight="1"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V726" s="112"/>
      <c r="AW726" s="112"/>
      <c r="AZ726" s="112"/>
    </row>
    <row r="727" ht="15.75" customHeight="1"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V727" s="112"/>
      <c r="AW727" s="112"/>
      <c r="AZ727" s="112"/>
    </row>
    <row r="728" ht="15.75" customHeight="1"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V728" s="112"/>
      <c r="AW728" s="112"/>
      <c r="AZ728" s="112"/>
    </row>
    <row r="729" ht="15.75" customHeight="1"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V729" s="112"/>
      <c r="AW729" s="112"/>
      <c r="AZ729" s="112"/>
    </row>
    <row r="730" ht="15.75" customHeight="1"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V730" s="112"/>
      <c r="AW730" s="112"/>
      <c r="AZ730" s="112"/>
    </row>
    <row r="731" ht="15.75" customHeight="1"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V731" s="112"/>
      <c r="AW731" s="112"/>
      <c r="AZ731" s="112"/>
    </row>
    <row r="732" ht="15.75" customHeight="1"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V732" s="112"/>
      <c r="AW732" s="112"/>
      <c r="AZ732" s="112"/>
    </row>
    <row r="733" ht="15.75" customHeight="1"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V733" s="112"/>
      <c r="AW733" s="112"/>
      <c r="AZ733" s="112"/>
    </row>
    <row r="734" ht="15.75" customHeight="1"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V734" s="112"/>
      <c r="AW734" s="112"/>
      <c r="AZ734" s="112"/>
    </row>
    <row r="735" ht="15.75" customHeight="1"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V735" s="112"/>
      <c r="AW735" s="112"/>
      <c r="AZ735" s="112"/>
    </row>
    <row r="736" ht="15.75" customHeight="1"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V736" s="112"/>
      <c r="AW736" s="112"/>
      <c r="AZ736" s="112"/>
    </row>
    <row r="737" ht="15.75" customHeight="1"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V737" s="112"/>
      <c r="AW737" s="112"/>
      <c r="AZ737" s="112"/>
    </row>
    <row r="738" ht="15.75" customHeight="1"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V738" s="112"/>
      <c r="AW738" s="112"/>
      <c r="AZ738" s="112"/>
    </row>
    <row r="739" ht="15.75" customHeight="1"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V739" s="112"/>
      <c r="AW739" s="112"/>
      <c r="AZ739" s="112"/>
    </row>
    <row r="740" ht="15.75" customHeight="1"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V740" s="112"/>
      <c r="AW740" s="112"/>
      <c r="AZ740" s="112"/>
    </row>
    <row r="741" ht="15.75" customHeight="1"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V741" s="112"/>
      <c r="AW741" s="112"/>
      <c r="AZ741" s="112"/>
    </row>
    <row r="742" ht="15.75" customHeight="1"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V742" s="112"/>
      <c r="AW742" s="112"/>
      <c r="AZ742" s="112"/>
    </row>
    <row r="743" ht="15.75" customHeight="1"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V743" s="112"/>
      <c r="AW743" s="112"/>
      <c r="AZ743" s="112"/>
    </row>
    <row r="744" ht="15.75" customHeight="1"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V744" s="112"/>
      <c r="AW744" s="112"/>
      <c r="AZ744" s="112"/>
    </row>
    <row r="745" ht="15.75" customHeight="1"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V745" s="112"/>
      <c r="AW745" s="112"/>
      <c r="AZ745" s="112"/>
    </row>
    <row r="746" ht="15.75" customHeight="1"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V746" s="112"/>
      <c r="AW746" s="112"/>
      <c r="AZ746" s="112"/>
    </row>
    <row r="747" ht="15.75" customHeight="1"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V747" s="112"/>
      <c r="AW747" s="112"/>
      <c r="AZ747" s="112"/>
    </row>
    <row r="748" ht="15.75" customHeight="1"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V748" s="112"/>
      <c r="AW748" s="112"/>
      <c r="AZ748" s="112"/>
    </row>
    <row r="749" ht="15.75" customHeight="1"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V749" s="112"/>
      <c r="AW749" s="112"/>
      <c r="AZ749" s="112"/>
    </row>
    <row r="750" ht="15.75" customHeight="1"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V750" s="112"/>
      <c r="AW750" s="112"/>
      <c r="AZ750" s="112"/>
    </row>
    <row r="751" ht="15.75" customHeight="1"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V751" s="112"/>
      <c r="AW751" s="112"/>
      <c r="AZ751" s="112"/>
    </row>
    <row r="752" ht="15.75" customHeight="1"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V752" s="112"/>
      <c r="AW752" s="112"/>
      <c r="AZ752" s="112"/>
    </row>
    <row r="753" ht="15.75" customHeight="1"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V753" s="112"/>
      <c r="AW753" s="112"/>
      <c r="AZ753" s="112"/>
    </row>
    <row r="754" ht="15.75" customHeight="1"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V754" s="112"/>
      <c r="AW754" s="112"/>
      <c r="AZ754" s="112"/>
    </row>
    <row r="755" ht="15.75" customHeight="1"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V755" s="112"/>
      <c r="AW755" s="112"/>
      <c r="AZ755" s="112"/>
    </row>
    <row r="756" ht="15.75" customHeight="1"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V756" s="112"/>
      <c r="AW756" s="112"/>
      <c r="AZ756" s="112"/>
    </row>
    <row r="757" ht="15.75" customHeight="1"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V757" s="112"/>
      <c r="AW757" s="112"/>
      <c r="AZ757" s="112"/>
    </row>
    <row r="758" ht="15.75" customHeight="1"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V758" s="112"/>
      <c r="AW758" s="112"/>
      <c r="AZ758" s="112"/>
    </row>
    <row r="759" ht="15.75" customHeight="1"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V759" s="112"/>
      <c r="AW759" s="112"/>
      <c r="AZ759" s="112"/>
    </row>
    <row r="760" ht="15.75" customHeight="1"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V760" s="112"/>
      <c r="AW760" s="112"/>
      <c r="AZ760" s="112"/>
    </row>
    <row r="761" ht="15.75" customHeight="1"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V761" s="112"/>
      <c r="AW761" s="112"/>
      <c r="AZ761" s="112"/>
    </row>
    <row r="762" ht="15.75" customHeight="1"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V762" s="112"/>
      <c r="AW762" s="112"/>
      <c r="AZ762" s="112"/>
    </row>
    <row r="763" ht="15.75" customHeight="1"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V763" s="112"/>
      <c r="AW763" s="112"/>
      <c r="AZ763" s="112"/>
    </row>
    <row r="764" ht="15.75" customHeight="1"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V764" s="112"/>
      <c r="AW764" s="112"/>
      <c r="AZ764" s="112"/>
    </row>
    <row r="765" ht="15.75" customHeight="1"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V765" s="112"/>
      <c r="AW765" s="112"/>
      <c r="AZ765" s="112"/>
    </row>
    <row r="766" ht="15.75" customHeight="1"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V766" s="112"/>
      <c r="AW766" s="112"/>
      <c r="AZ766" s="112"/>
    </row>
    <row r="767" ht="15.75" customHeight="1"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V767" s="112"/>
      <c r="AW767" s="112"/>
      <c r="AZ767" s="112"/>
    </row>
    <row r="768" ht="15.75" customHeight="1"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V768" s="112"/>
      <c r="AW768" s="112"/>
      <c r="AZ768" s="112"/>
    </row>
    <row r="769" ht="15.75" customHeight="1"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V769" s="112"/>
      <c r="AW769" s="112"/>
      <c r="AZ769" s="112"/>
    </row>
    <row r="770" ht="15.75" customHeight="1"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V770" s="112"/>
      <c r="AW770" s="112"/>
      <c r="AZ770" s="112"/>
    </row>
    <row r="771" ht="15.75" customHeight="1"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V771" s="112"/>
      <c r="AW771" s="112"/>
      <c r="AZ771" s="112"/>
    </row>
    <row r="772" ht="15.75" customHeight="1"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V772" s="112"/>
      <c r="AW772" s="112"/>
      <c r="AZ772" s="112"/>
    </row>
    <row r="773" ht="15.75" customHeight="1"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V773" s="112"/>
      <c r="AW773" s="112"/>
      <c r="AZ773" s="112"/>
    </row>
    <row r="774" ht="15.75" customHeight="1"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V774" s="112"/>
      <c r="AW774" s="112"/>
      <c r="AZ774" s="112"/>
    </row>
    <row r="775" ht="15.75" customHeight="1"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V775" s="112"/>
      <c r="AW775" s="112"/>
      <c r="AZ775" s="112"/>
    </row>
    <row r="776" ht="15.75" customHeight="1"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V776" s="112"/>
      <c r="AW776" s="112"/>
      <c r="AZ776" s="112"/>
    </row>
    <row r="777" ht="15.75" customHeight="1"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V777" s="112"/>
      <c r="AW777" s="112"/>
      <c r="AZ777" s="112"/>
    </row>
    <row r="778" ht="15.75" customHeight="1"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V778" s="112"/>
      <c r="AW778" s="112"/>
      <c r="AZ778" s="112"/>
    </row>
    <row r="779" ht="15.75" customHeight="1"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V779" s="112"/>
      <c r="AW779" s="112"/>
      <c r="AZ779" s="112"/>
    </row>
    <row r="780" ht="15.75" customHeight="1"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V780" s="112"/>
      <c r="AW780" s="112"/>
      <c r="AZ780" s="112"/>
    </row>
    <row r="781" ht="15.75" customHeight="1"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V781" s="112"/>
      <c r="AW781" s="112"/>
      <c r="AZ781" s="112"/>
    </row>
    <row r="782" ht="15.75" customHeight="1"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V782" s="112"/>
      <c r="AW782" s="112"/>
      <c r="AZ782" s="112"/>
    </row>
    <row r="783" ht="15.75" customHeight="1"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V783" s="112"/>
      <c r="AW783" s="112"/>
      <c r="AZ783" s="112"/>
    </row>
    <row r="784" ht="15.75" customHeight="1"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V784" s="112"/>
      <c r="AW784" s="112"/>
      <c r="AZ784" s="112"/>
    </row>
    <row r="785" ht="15.75" customHeight="1"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V785" s="112"/>
      <c r="AW785" s="112"/>
      <c r="AZ785" s="112"/>
    </row>
    <row r="786" ht="15.75" customHeight="1"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V786" s="112"/>
      <c r="AW786" s="112"/>
      <c r="AZ786" s="112"/>
    </row>
    <row r="787" ht="15.75" customHeight="1"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V787" s="112"/>
      <c r="AW787" s="112"/>
      <c r="AZ787" s="112"/>
    </row>
    <row r="788" ht="15.75" customHeight="1"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V788" s="112"/>
      <c r="AW788" s="112"/>
      <c r="AZ788" s="112"/>
    </row>
    <row r="789" ht="15.75" customHeight="1"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V789" s="112"/>
      <c r="AW789" s="112"/>
      <c r="AZ789" s="112"/>
    </row>
    <row r="790" ht="15.75" customHeight="1"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V790" s="112"/>
      <c r="AW790" s="112"/>
      <c r="AZ790" s="112"/>
    </row>
    <row r="791" ht="15.75" customHeight="1"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V791" s="112"/>
      <c r="AW791" s="112"/>
      <c r="AZ791" s="112"/>
    </row>
    <row r="792" ht="15.75" customHeight="1"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V792" s="112"/>
      <c r="AW792" s="112"/>
      <c r="AZ792" s="112"/>
    </row>
    <row r="793" ht="15.75" customHeight="1"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V793" s="112"/>
      <c r="AW793" s="112"/>
      <c r="AZ793" s="112"/>
    </row>
    <row r="794" ht="15.75" customHeight="1"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V794" s="112"/>
      <c r="AW794" s="112"/>
      <c r="AZ794" s="112"/>
    </row>
    <row r="795" ht="15.75" customHeight="1"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V795" s="112"/>
      <c r="AW795" s="112"/>
      <c r="AZ795" s="112"/>
    </row>
    <row r="796" ht="15.75" customHeight="1"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V796" s="112"/>
      <c r="AW796" s="112"/>
      <c r="AZ796" s="112"/>
    </row>
    <row r="797" ht="15.75" customHeight="1"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V797" s="112"/>
      <c r="AW797" s="112"/>
      <c r="AZ797" s="112"/>
    </row>
    <row r="798" ht="15.75" customHeight="1"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V798" s="112"/>
      <c r="AW798" s="112"/>
      <c r="AZ798" s="112"/>
    </row>
    <row r="799" ht="15.75" customHeight="1"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V799" s="112"/>
      <c r="AW799" s="112"/>
      <c r="AZ799" s="112"/>
    </row>
    <row r="800" ht="15.75" customHeight="1"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V800" s="112"/>
      <c r="AW800" s="112"/>
      <c r="AZ800" s="112"/>
    </row>
    <row r="801" ht="15.75" customHeight="1"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V801" s="112"/>
      <c r="AW801" s="112"/>
      <c r="AZ801" s="112"/>
    </row>
    <row r="802" ht="15.75" customHeight="1"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V802" s="112"/>
      <c r="AW802" s="112"/>
      <c r="AZ802" s="112"/>
    </row>
    <row r="803" ht="15.75" customHeight="1"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V803" s="112"/>
      <c r="AW803" s="112"/>
      <c r="AZ803" s="112"/>
    </row>
    <row r="804" ht="15.75" customHeight="1"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V804" s="112"/>
      <c r="AW804" s="112"/>
      <c r="AZ804" s="112"/>
    </row>
    <row r="805" ht="15.75" customHeight="1"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V805" s="112"/>
      <c r="AW805" s="112"/>
      <c r="AZ805" s="112"/>
    </row>
    <row r="806" ht="15.75" customHeight="1"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V806" s="112"/>
      <c r="AW806" s="112"/>
      <c r="AZ806" s="112"/>
    </row>
    <row r="807" ht="15.75" customHeight="1"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V807" s="112"/>
      <c r="AW807" s="112"/>
      <c r="AZ807" s="112"/>
    </row>
    <row r="808" ht="15.75" customHeight="1"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V808" s="112"/>
      <c r="AW808" s="112"/>
      <c r="AZ808" s="112"/>
    </row>
    <row r="809" ht="15.75" customHeight="1"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V809" s="112"/>
      <c r="AW809" s="112"/>
      <c r="AZ809" s="112"/>
    </row>
    <row r="810" ht="15.75" customHeight="1"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V810" s="112"/>
      <c r="AW810" s="112"/>
      <c r="AZ810" s="112"/>
    </row>
    <row r="811" ht="15.75" customHeight="1"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V811" s="112"/>
      <c r="AW811" s="112"/>
      <c r="AZ811" s="112"/>
    </row>
    <row r="812" ht="15.75" customHeight="1"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V812" s="112"/>
      <c r="AW812" s="112"/>
      <c r="AZ812" s="112"/>
    </row>
    <row r="813" ht="15.75" customHeight="1"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V813" s="112"/>
      <c r="AW813" s="112"/>
      <c r="AZ813" s="112"/>
    </row>
    <row r="814" ht="15.75" customHeight="1"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V814" s="112"/>
      <c r="AW814" s="112"/>
      <c r="AZ814" s="112"/>
    </row>
    <row r="815" ht="15.75" customHeight="1"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V815" s="112"/>
      <c r="AW815" s="112"/>
      <c r="AZ815" s="112"/>
    </row>
    <row r="816" ht="15.75" customHeight="1"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V816" s="112"/>
      <c r="AW816" s="112"/>
      <c r="AZ816" s="112"/>
    </row>
    <row r="817" ht="15.75" customHeight="1"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V817" s="112"/>
      <c r="AW817" s="112"/>
      <c r="AZ817" s="112"/>
    </row>
    <row r="818" ht="15.75" customHeight="1"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V818" s="112"/>
      <c r="AW818" s="112"/>
      <c r="AZ818" s="112"/>
    </row>
    <row r="819" ht="15.75" customHeight="1"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V819" s="112"/>
      <c r="AW819" s="112"/>
      <c r="AZ819" s="112"/>
    </row>
    <row r="820" ht="15.75" customHeight="1"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V820" s="112"/>
      <c r="AW820" s="112"/>
      <c r="AZ820" s="112"/>
    </row>
    <row r="821" ht="15.75" customHeight="1"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V821" s="112"/>
      <c r="AW821" s="112"/>
      <c r="AZ821" s="112"/>
    </row>
    <row r="822" ht="15.75" customHeight="1"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V822" s="112"/>
      <c r="AW822" s="112"/>
      <c r="AZ822" s="112"/>
    </row>
    <row r="823" ht="15.75" customHeight="1"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V823" s="112"/>
      <c r="AW823" s="112"/>
      <c r="AZ823" s="112"/>
    </row>
    <row r="824" ht="15.75" customHeight="1"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V824" s="112"/>
      <c r="AW824" s="112"/>
      <c r="AZ824" s="112"/>
    </row>
    <row r="825" ht="15.75" customHeight="1"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V825" s="112"/>
      <c r="AW825" s="112"/>
      <c r="AZ825" s="112"/>
    </row>
    <row r="826" ht="15.75" customHeight="1"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V826" s="112"/>
      <c r="AW826" s="112"/>
      <c r="AZ826" s="112"/>
    </row>
    <row r="827" ht="15.75" customHeight="1"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V827" s="112"/>
      <c r="AW827" s="112"/>
      <c r="AZ827" s="112"/>
    </row>
    <row r="828" ht="15.75" customHeight="1"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V828" s="112"/>
      <c r="AW828" s="112"/>
      <c r="AZ828" s="112"/>
    </row>
    <row r="829" ht="15.75" customHeight="1"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V829" s="112"/>
      <c r="AW829" s="112"/>
      <c r="AZ829" s="112"/>
    </row>
    <row r="830" ht="15.75" customHeight="1"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V830" s="112"/>
      <c r="AW830" s="112"/>
      <c r="AZ830" s="112"/>
    </row>
    <row r="831" ht="15.75" customHeight="1"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V831" s="112"/>
      <c r="AW831" s="112"/>
      <c r="AZ831" s="112"/>
    </row>
    <row r="832" ht="15.75" customHeight="1"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V832" s="112"/>
      <c r="AW832" s="112"/>
      <c r="AZ832" s="112"/>
    </row>
    <row r="833" ht="15.75" customHeight="1"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V833" s="112"/>
      <c r="AW833" s="112"/>
      <c r="AZ833" s="112"/>
    </row>
    <row r="834" ht="15.75" customHeight="1"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V834" s="112"/>
      <c r="AW834" s="112"/>
      <c r="AZ834" s="112"/>
    </row>
    <row r="835" ht="15.75" customHeight="1"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V835" s="112"/>
      <c r="AW835" s="112"/>
      <c r="AZ835" s="112"/>
    </row>
    <row r="836" ht="15.75" customHeight="1"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V836" s="112"/>
      <c r="AW836" s="112"/>
      <c r="AZ836" s="112"/>
    </row>
    <row r="837" ht="15.75" customHeight="1"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V837" s="112"/>
      <c r="AW837" s="112"/>
      <c r="AZ837" s="112"/>
    </row>
    <row r="838" ht="15.75" customHeight="1"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V838" s="112"/>
      <c r="AW838" s="112"/>
      <c r="AZ838" s="112"/>
    </row>
    <row r="839" ht="15.75" customHeight="1"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V839" s="112"/>
      <c r="AW839" s="112"/>
      <c r="AZ839" s="112"/>
    </row>
    <row r="840" ht="15.75" customHeight="1"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V840" s="112"/>
      <c r="AW840" s="112"/>
      <c r="AZ840" s="112"/>
    </row>
    <row r="841" ht="15.75" customHeight="1"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V841" s="112"/>
      <c r="AW841" s="112"/>
      <c r="AZ841" s="112"/>
    </row>
    <row r="842" ht="15.75" customHeight="1"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V842" s="112"/>
      <c r="AW842" s="112"/>
      <c r="AZ842" s="112"/>
    </row>
    <row r="843" ht="15.75" customHeight="1"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V843" s="112"/>
      <c r="AW843" s="112"/>
      <c r="AZ843" s="112"/>
    </row>
    <row r="844" ht="15.75" customHeight="1"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V844" s="112"/>
      <c r="AW844" s="112"/>
      <c r="AZ844" s="112"/>
    </row>
    <row r="845" ht="15.75" customHeight="1"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V845" s="112"/>
      <c r="AW845" s="112"/>
      <c r="AZ845" s="112"/>
    </row>
    <row r="846" ht="15.75" customHeight="1"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V846" s="112"/>
      <c r="AW846" s="112"/>
      <c r="AZ846" s="112"/>
    </row>
    <row r="847" ht="15.75" customHeight="1"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V847" s="112"/>
      <c r="AW847" s="112"/>
      <c r="AZ847" s="112"/>
    </row>
    <row r="848" ht="15.75" customHeight="1"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V848" s="112"/>
      <c r="AW848" s="112"/>
      <c r="AZ848" s="112"/>
    </row>
    <row r="849" ht="15.75" customHeight="1"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V849" s="112"/>
      <c r="AW849" s="112"/>
      <c r="AZ849" s="112"/>
    </row>
    <row r="850" ht="15.75" customHeight="1"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V850" s="112"/>
      <c r="AW850" s="112"/>
      <c r="AZ850" s="112"/>
    </row>
    <row r="851" ht="15.75" customHeight="1"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V851" s="112"/>
      <c r="AW851" s="112"/>
      <c r="AZ851" s="112"/>
    </row>
    <row r="852" ht="15.75" customHeight="1"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V852" s="112"/>
      <c r="AW852" s="112"/>
      <c r="AZ852" s="112"/>
    </row>
    <row r="853" ht="15.75" customHeight="1"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V853" s="112"/>
      <c r="AW853" s="112"/>
      <c r="AZ853" s="112"/>
    </row>
    <row r="854" ht="15.75" customHeight="1"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V854" s="112"/>
      <c r="AW854" s="112"/>
      <c r="AZ854" s="112"/>
    </row>
    <row r="855" ht="15.75" customHeight="1"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V855" s="112"/>
      <c r="AW855" s="112"/>
      <c r="AZ855" s="112"/>
    </row>
    <row r="856" ht="15.75" customHeight="1"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V856" s="112"/>
      <c r="AW856" s="112"/>
      <c r="AZ856" s="112"/>
    </row>
    <row r="857" ht="15.75" customHeight="1"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V857" s="112"/>
      <c r="AW857" s="112"/>
      <c r="AZ857" s="112"/>
    </row>
    <row r="858" ht="15.75" customHeight="1"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V858" s="112"/>
      <c r="AW858" s="112"/>
      <c r="AZ858" s="112"/>
    </row>
    <row r="859" ht="15.75" customHeight="1"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V859" s="112"/>
      <c r="AW859" s="112"/>
      <c r="AZ859" s="112"/>
    </row>
    <row r="860" ht="15.75" customHeight="1"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V860" s="112"/>
      <c r="AW860" s="112"/>
      <c r="AZ860" s="112"/>
    </row>
    <row r="861" ht="15.75" customHeight="1"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V861" s="112"/>
      <c r="AW861" s="112"/>
      <c r="AZ861" s="112"/>
    </row>
    <row r="862" ht="15.75" customHeight="1"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V862" s="112"/>
      <c r="AW862" s="112"/>
      <c r="AZ862" s="112"/>
    </row>
    <row r="863" ht="15.75" customHeight="1"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V863" s="112"/>
      <c r="AW863" s="112"/>
      <c r="AZ863" s="112"/>
    </row>
    <row r="864" ht="15.75" customHeight="1"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V864" s="112"/>
      <c r="AW864" s="112"/>
      <c r="AZ864" s="112"/>
    </row>
    <row r="865" ht="15.75" customHeight="1"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V865" s="112"/>
      <c r="AW865" s="112"/>
      <c r="AZ865" s="112"/>
    </row>
    <row r="866" ht="15.75" customHeight="1"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V866" s="112"/>
      <c r="AW866" s="112"/>
      <c r="AZ866" s="112"/>
    </row>
    <row r="867" ht="15.75" customHeight="1"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V867" s="112"/>
      <c r="AW867" s="112"/>
      <c r="AZ867" s="112"/>
    </row>
    <row r="868" ht="15.75" customHeight="1"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V868" s="112"/>
      <c r="AW868" s="112"/>
      <c r="AZ868" s="112"/>
    </row>
    <row r="869" ht="15.75" customHeight="1"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V869" s="112"/>
      <c r="AW869" s="112"/>
      <c r="AZ869" s="112"/>
    </row>
    <row r="870" ht="15.75" customHeight="1"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V870" s="112"/>
      <c r="AW870" s="112"/>
      <c r="AZ870" s="112"/>
    </row>
    <row r="871" ht="15.75" customHeight="1"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V871" s="112"/>
      <c r="AW871" s="112"/>
      <c r="AZ871" s="112"/>
    </row>
    <row r="872" ht="15.75" customHeight="1"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V872" s="112"/>
      <c r="AW872" s="112"/>
      <c r="AZ872" s="112"/>
    </row>
    <row r="873" ht="15.75" customHeight="1"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V873" s="112"/>
      <c r="AW873" s="112"/>
      <c r="AZ873" s="112"/>
    </row>
    <row r="874" ht="15.75" customHeight="1"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V874" s="112"/>
      <c r="AW874" s="112"/>
      <c r="AZ874" s="112"/>
    </row>
    <row r="875" ht="15.75" customHeight="1"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V875" s="112"/>
      <c r="AW875" s="112"/>
      <c r="AZ875" s="112"/>
    </row>
    <row r="876" ht="15.75" customHeight="1"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V876" s="112"/>
      <c r="AW876" s="112"/>
      <c r="AZ876" s="112"/>
    </row>
    <row r="877" ht="15.75" customHeight="1"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V877" s="112"/>
      <c r="AW877" s="112"/>
      <c r="AZ877" s="112"/>
    </row>
    <row r="878" ht="15.75" customHeight="1"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V878" s="112"/>
      <c r="AW878" s="112"/>
      <c r="AZ878" s="112"/>
    </row>
    <row r="879" ht="15.75" customHeight="1"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V879" s="112"/>
      <c r="AW879" s="112"/>
      <c r="AZ879" s="112"/>
    </row>
    <row r="880" ht="15.75" customHeight="1"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V880" s="112"/>
      <c r="AW880" s="112"/>
      <c r="AZ880" s="112"/>
    </row>
    <row r="881" ht="15.75" customHeight="1"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V881" s="112"/>
      <c r="AW881" s="112"/>
      <c r="AZ881" s="112"/>
    </row>
    <row r="882" ht="15.75" customHeight="1"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V882" s="112"/>
      <c r="AW882" s="112"/>
      <c r="AZ882" s="112"/>
    </row>
    <row r="883" ht="15.75" customHeight="1"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V883" s="112"/>
      <c r="AW883" s="112"/>
      <c r="AZ883" s="112"/>
    </row>
    <row r="884" ht="15.75" customHeight="1"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V884" s="112"/>
      <c r="AW884" s="112"/>
      <c r="AZ884" s="112"/>
    </row>
    <row r="885" ht="15.75" customHeight="1"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V885" s="112"/>
      <c r="AW885" s="112"/>
      <c r="AZ885" s="112"/>
    </row>
    <row r="886" ht="15.75" customHeight="1"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V886" s="112"/>
      <c r="AW886" s="112"/>
      <c r="AZ886" s="112"/>
    </row>
    <row r="887" ht="15.75" customHeight="1"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V887" s="112"/>
      <c r="AW887" s="112"/>
      <c r="AZ887" s="112"/>
    </row>
    <row r="888" ht="15.75" customHeight="1"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V888" s="112"/>
      <c r="AW888" s="112"/>
      <c r="AZ888" s="112"/>
    </row>
    <row r="889" ht="15.75" customHeight="1"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V889" s="112"/>
      <c r="AW889" s="112"/>
      <c r="AZ889" s="112"/>
    </row>
    <row r="890" ht="15.75" customHeight="1"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V890" s="112"/>
      <c r="AW890" s="112"/>
      <c r="AZ890" s="112"/>
    </row>
    <row r="891" ht="15.75" customHeight="1"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V891" s="112"/>
      <c r="AW891" s="112"/>
      <c r="AZ891" s="112"/>
    </row>
    <row r="892" ht="15.75" customHeight="1"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V892" s="112"/>
      <c r="AW892" s="112"/>
      <c r="AZ892" s="112"/>
    </row>
    <row r="893" ht="15.75" customHeight="1"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V893" s="112"/>
      <c r="AW893" s="112"/>
      <c r="AZ893" s="112"/>
    </row>
    <row r="894" ht="15.75" customHeight="1"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V894" s="112"/>
      <c r="AW894" s="112"/>
      <c r="AZ894" s="112"/>
    </row>
    <row r="895" ht="15.75" customHeight="1"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V895" s="112"/>
      <c r="AW895" s="112"/>
      <c r="AZ895" s="112"/>
    </row>
    <row r="896" ht="15.75" customHeight="1"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V896" s="112"/>
      <c r="AW896" s="112"/>
      <c r="AZ896" s="112"/>
    </row>
    <row r="897" ht="15.75" customHeight="1"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V897" s="112"/>
      <c r="AW897" s="112"/>
      <c r="AZ897" s="112"/>
    </row>
    <row r="898" ht="15.75" customHeight="1"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V898" s="112"/>
      <c r="AW898" s="112"/>
      <c r="AZ898" s="112"/>
    </row>
    <row r="899" ht="15.75" customHeight="1"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V899" s="112"/>
      <c r="AW899" s="112"/>
      <c r="AZ899" s="112"/>
    </row>
    <row r="900" ht="15.75" customHeight="1"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V900" s="112"/>
      <c r="AW900" s="112"/>
      <c r="AZ900" s="112"/>
    </row>
    <row r="901" ht="15.75" customHeight="1"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V901" s="112"/>
      <c r="AW901" s="112"/>
      <c r="AZ901" s="112"/>
    </row>
    <row r="902" ht="15.75" customHeight="1"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V902" s="112"/>
      <c r="AW902" s="112"/>
      <c r="AZ902" s="112"/>
    </row>
    <row r="903" ht="15.75" customHeight="1"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V903" s="112"/>
      <c r="AW903" s="112"/>
      <c r="AZ903" s="112"/>
    </row>
    <row r="904" ht="15.75" customHeight="1"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V904" s="112"/>
      <c r="AW904" s="112"/>
      <c r="AZ904" s="112"/>
    </row>
    <row r="905" ht="15.75" customHeight="1"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V905" s="112"/>
      <c r="AW905" s="112"/>
      <c r="AZ905" s="112"/>
    </row>
    <row r="906" ht="15.75" customHeight="1"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V906" s="112"/>
      <c r="AW906" s="112"/>
      <c r="AZ906" s="112"/>
    </row>
    <row r="907" ht="15.75" customHeight="1"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V907" s="112"/>
      <c r="AW907" s="112"/>
      <c r="AZ907" s="112"/>
    </row>
    <row r="908" ht="15.75" customHeight="1"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V908" s="112"/>
      <c r="AW908" s="112"/>
      <c r="AZ908" s="112"/>
    </row>
    <row r="909" ht="15.75" customHeight="1"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V909" s="112"/>
      <c r="AW909" s="112"/>
      <c r="AZ909" s="112"/>
    </row>
    <row r="910" ht="15.75" customHeight="1"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V910" s="112"/>
      <c r="AW910" s="112"/>
      <c r="AZ910" s="112"/>
    </row>
    <row r="911" ht="15.75" customHeight="1"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V911" s="112"/>
      <c r="AW911" s="112"/>
      <c r="AZ911" s="112"/>
    </row>
    <row r="912" ht="15.75" customHeight="1"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V912" s="112"/>
      <c r="AW912" s="112"/>
      <c r="AZ912" s="112"/>
    </row>
    <row r="913" ht="15.75" customHeight="1"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V913" s="112"/>
      <c r="AW913" s="112"/>
      <c r="AZ913" s="112"/>
    </row>
    <row r="914" ht="15.75" customHeight="1"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V914" s="112"/>
      <c r="AW914" s="112"/>
      <c r="AZ914" s="112"/>
    </row>
    <row r="915" ht="15.75" customHeight="1"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V915" s="112"/>
      <c r="AW915" s="112"/>
      <c r="AZ915" s="112"/>
    </row>
    <row r="916" ht="15.75" customHeight="1"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V916" s="112"/>
      <c r="AW916" s="112"/>
      <c r="AZ916" s="112"/>
    </row>
    <row r="917" ht="15.75" customHeight="1"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V917" s="112"/>
      <c r="AW917" s="112"/>
      <c r="AZ917" s="112"/>
    </row>
    <row r="918" ht="15.75" customHeight="1"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V918" s="112"/>
      <c r="AW918" s="112"/>
      <c r="AZ918" s="112"/>
    </row>
    <row r="919" ht="15.75" customHeight="1"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V919" s="112"/>
      <c r="AW919" s="112"/>
      <c r="AZ919" s="112"/>
    </row>
    <row r="920" ht="15.75" customHeight="1"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V920" s="112"/>
      <c r="AW920" s="112"/>
      <c r="AZ920" s="112"/>
    </row>
    <row r="921" ht="15.75" customHeight="1"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V921" s="112"/>
      <c r="AW921" s="112"/>
      <c r="AZ921" s="112"/>
    </row>
    <row r="922" ht="15.75" customHeight="1"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V922" s="112"/>
      <c r="AW922" s="112"/>
      <c r="AZ922" s="112"/>
    </row>
    <row r="923" ht="15.75" customHeight="1"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V923" s="112"/>
      <c r="AW923" s="112"/>
      <c r="AZ923" s="112"/>
    </row>
    <row r="924" ht="15.75" customHeight="1"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V924" s="112"/>
      <c r="AW924" s="112"/>
      <c r="AZ924" s="112"/>
    </row>
    <row r="925" ht="15.75" customHeight="1"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V925" s="112"/>
      <c r="AW925" s="112"/>
      <c r="AZ925" s="112"/>
    </row>
    <row r="926" ht="15.75" customHeight="1"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V926" s="112"/>
      <c r="AW926" s="112"/>
      <c r="AZ926" s="112"/>
    </row>
    <row r="927" ht="15.75" customHeight="1"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V927" s="112"/>
      <c r="AW927" s="112"/>
      <c r="AZ927" s="112"/>
    </row>
    <row r="928" ht="15.75" customHeight="1"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V928" s="112"/>
      <c r="AW928" s="112"/>
      <c r="AZ928" s="112"/>
    </row>
    <row r="929" ht="15.75" customHeight="1"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V929" s="112"/>
      <c r="AW929" s="112"/>
      <c r="AZ929" s="112"/>
    </row>
    <row r="930" ht="15.75" customHeight="1"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V930" s="112"/>
      <c r="AW930" s="112"/>
      <c r="AZ930" s="112"/>
    </row>
    <row r="931" ht="15.75" customHeight="1"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V931" s="112"/>
      <c r="AW931" s="112"/>
      <c r="AZ931" s="112"/>
    </row>
    <row r="932" ht="15.75" customHeight="1"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V932" s="112"/>
      <c r="AW932" s="112"/>
      <c r="AZ932" s="112"/>
    </row>
    <row r="933" ht="15.75" customHeight="1"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V933" s="112"/>
      <c r="AW933" s="112"/>
      <c r="AZ933" s="112"/>
    </row>
    <row r="934" ht="15.75" customHeight="1"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V934" s="112"/>
      <c r="AW934" s="112"/>
      <c r="AZ934" s="112"/>
    </row>
    <row r="935" ht="15.75" customHeight="1"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V935" s="112"/>
      <c r="AW935" s="112"/>
      <c r="AZ935" s="112"/>
    </row>
    <row r="936" ht="15.75" customHeight="1"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V936" s="112"/>
      <c r="AW936" s="112"/>
      <c r="AZ936" s="112"/>
    </row>
    <row r="937" ht="15.75" customHeight="1"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V937" s="112"/>
      <c r="AW937" s="112"/>
      <c r="AZ937" s="112"/>
    </row>
    <row r="938" ht="15.75" customHeight="1"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V938" s="112"/>
      <c r="AW938" s="112"/>
      <c r="AZ938" s="112"/>
    </row>
    <row r="939" ht="15.75" customHeight="1"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V939" s="112"/>
      <c r="AW939" s="112"/>
      <c r="AZ939" s="112"/>
    </row>
    <row r="940" ht="15.75" customHeight="1"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V940" s="112"/>
      <c r="AW940" s="112"/>
      <c r="AZ940" s="112"/>
    </row>
    <row r="941" ht="15.75" customHeight="1"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V941" s="112"/>
      <c r="AW941" s="112"/>
      <c r="AZ941" s="112"/>
    </row>
    <row r="942" ht="15.75" customHeight="1"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V942" s="112"/>
      <c r="AW942" s="112"/>
      <c r="AZ942" s="112"/>
    </row>
    <row r="943" ht="15.75" customHeight="1"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V943" s="112"/>
      <c r="AW943" s="112"/>
      <c r="AZ943" s="112"/>
    </row>
    <row r="944" ht="15.75" customHeight="1"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V944" s="112"/>
      <c r="AW944" s="112"/>
      <c r="AZ944" s="112"/>
    </row>
    <row r="945" ht="15.75" customHeight="1"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V945" s="112"/>
      <c r="AW945" s="112"/>
      <c r="AZ945" s="112"/>
    </row>
    <row r="946" ht="15.75" customHeight="1"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V946" s="112"/>
      <c r="AW946" s="112"/>
      <c r="AZ946" s="112"/>
    </row>
    <row r="947" ht="15.75" customHeight="1"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V947" s="112"/>
      <c r="AW947" s="112"/>
      <c r="AZ947" s="112"/>
    </row>
    <row r="948" ht="15.75" customHeight="1"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V948" s="112"/>
      <c r="AW948" s="112"/>
      <c r="AZ948" s="112"/>
    </row>
    <row r="949" ht="15.75" customHeight="1"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V949" s="112"/>
      <c r="AW949" s="112"/>
      <c r="AZ949" s="112"/>
    </row>
    <row r="950" ht="15.75" customHeight="1"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V950" s="112"/>
      <c r="AW950" s="112"/>
      <c r="AZ950" s="112"/>
    </row>
    <row r="951" ht="15.75" customHeight="1"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V951" s="112"/>
      <c r="AW951" s="112"/>
      <c r="AZ951" s="112"/>
    </row>
    <row r="952" ht="15.75" customHeight="1"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V952" s="112"/>
      <c r="AW952" s="112"/>
      <c r="AZ952" s="112"/>
    </row>
    <row r="953" ht="15.75" customHeight="1"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V953" s="112"/>
      <c r="AW953" s="112"/>
      <c r="AZ953" s="112"/>
    </row>
    <row r="954" ht="15.75" customHeight="1"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V954" s="112"/>
      <c r="AW954" s="112"/>
      <c r="AZ954" s="112"/>
    </row>
    <row r="955" ht="15.75" customHeight="1"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V955" s="112"/>
      <c r="AW955" s="112"/>
      <c r="AZ955" s="112"/>
    </row>
    <row r="956" ht="15.75" customHeight="1"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V956" s="112"/>
      <c r="AW956" s="112"/>
      <c r="AZ956" s="112"/>
    </row>
    <row r="957" ht="15.75" customHeight="1"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V957" s="112"/>
      <c r="AW957" s="112"/>
      <c r="AZ957" s="112"/>
    </row>
    <row r="958" ht="15.75" customHeight="1"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V958" s="112"/>
      <c r="AW958" s="112"/>
      <c r="AZ958" s="112"/>
    </row>
    <row r="959" ht="15.75" customHeight="1"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V959" s="112"/>
      <c r="AW959" s="112"/>
      <c r="AZ959" s="112"/>
    </row>
    <row r="960" ht="15.75" customHeight="1"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V960" s="112"/>
      <c r="AW960" s="112"/>
      <c r="AZ960" s="112"/>
    </row>
    <row r="961" ht="15.75" customHeight="1"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V961" s="112"/>
      <c r="AW961" s="112"/>
      <c r="AZ961" s="112"/>
    </row>
    <row r="962" ht="15.75" customHeight="1"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V962" s="112"/>
      <c r="AW962" s="112"/>
      <c r="AZ962" s="112"/>
    </row>
    <row r="963" ht="15.75" customHeight="1"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V963" s="112"/>
      <c r="AW963" s="112"/>
      <c r="AZ963" s="112"/>
    </row>
    <row r="964" ht="15.75" customHeight="1"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V964" s="112"/>
      <c r="AW964" s="112"/>
      <c r="AZ964" s="112"/>
    </row>
    <row r="965" ht="15.75" customHeight="1"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V965" s="112"/>
      <c r="AW965" s="112"/>
      <c r="AZ965" s="112"/>
    </row>
    <row r="966" ht="15.75" customHeight="1"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V966" s="112"/>
      <c r="AW966" s="112"/>
      <c r="AZ966" s="112"/>
    </row>
    <row r="967" ht="15.75" customHeight="1"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V967" s="112"/>
      <c r="AW967" s="112"/>
      <c r="AZ967" s="112"/>
    </row>
    <row r="968" ht="15.75" customHeight="1"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V968" s="112"/>
      <c r="AW968" s="112"/>
      <c r="AZ968" s="112"/>
    </row>
    <row r="969" ht="15.75" customHeight="1"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V969" s="112"/>
      <c r="AW969" s="112"/>
      <c r="AZ969" s="112"/>
    </row>
    <row r="970" ht="15.75" customHeight="1"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V970" s="112"/>
      <c r="AW970" s="112"/>
      <c r="AZ970" s="112"/>
    </row>
    <row r="971" ht="15.75" customHeight="1"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V971" s="112"/>
      <c r="AW971" s="112"/>
      <c r="AZ971" s="112"/>
    </row>
    <row r="972" ht="15.75" customHeight="1"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V972" s="112"/>
      <c r="AW972" s="112"/>
      <c r="AZ972" s="112"/>
    </row>
    <row r="973" ht="15.75" customHeight="1"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V973" s="112"/>
      <c r="AW973" s="112"/>
      <c r="AZ973" s="112"/>
    </row>
    <row r="974" ht="15.75" customHeight="1"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V974" s="112"/>
      <c r="AW974" s="112"/>
      <c r="AZ974" s="112"/>
    </row>
    <row r="975" ht="15.75" customHeight="1"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V975" s="112"/>
      <c r="AW975" s="112"/>
      <c r="AZ975" s="112"/>
    </row>
    <row r="976" ht="15.75" customHeight="1"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V976" s="112"/>
      <c r="AW976" s="112"/>
      <c r="AZ976" s="112"/>
    </row>
    <row r="977" ht="15.75" customHeight="1"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V977" s="112"/>
      <c r="AW977" s="112"/>
      <c r="AZ977" s="112"/>
    </row>
    <row r="978" ht="15.75" customHeight="1"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V978" s="112"/>
      <c r="AW978" s="112"/>
      <c r="AZ978" s="112"/>
    </row>
    <row r="979" ht="15.75" customHeight="1"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V979" s="112"/>
      <c r="AW979" s="112"/>
      <c r="AZ979" s="112"/>
    </row>
    <row r="980" ht="15.75" customHeight="1"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V980" s="112"/>
      <c r="AW980" s="112"/>
      <c r="AZ980" s="112"/>
    </row>
    <row r="981" ht="15.75" customHeight="1"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V981" s="112"/>
      <c r="AW981" s="112"/>
      <c r="AZ981" s="112"/>
    </row>
    <row r="982" ht="15.75" customHeight="1"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V982" s="112"/>
      <c r="AW982" s="112"/>
      <c r="AZ982" s="112"/>
    </row>
    <row r="983" ht="15.75" customHeight="1"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V983" s="112"/>
      <c r="AW983" s="112"/>
      <c r="AZ983" s="112"/>
    </row>
    <row r="984" ht="15.75" customHeight="1"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V984" s="112"/>
      <c r="AW984" s="112"/>
      <c r="AZ984" s="112"/>
    </row>
    <row r="985" ht="15.75" customHeight="1"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V985" s="112"/>
      <c r="AW985" s="112"/>
      <c r="AZ985" s="112"/>
    </row>
    <row r="986" ht="15.75" customHeight="1"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V986" s="112"/>
      <c r="AW986" s="112"/>
      <c r="AZ986" s="112"/>
    </row>
    <row r="987" ht="15.75" customHeight="1"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V987" s="112"/>
      <c r="AW987" s="112"/>
      <c r="AZ987" s="112"/>
    </row>
    <row r="988" ht="15.75" customHeight="1"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V988" s="112"/>
      <c r="AW988" s="112"/>
      <c r="AZ988" s="112"/>
    </row>
    <row r="989" ht="15.75" customHeight="1"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V989" s="112"/>
      <c r="AW989" s="112"/>
      <c r="AZ989" s="112"/>
      <c r="BA989" s="112"/>
      <c r="BB989" s="112"/>
    </row>
    <row r="990" ht="15.75" customHeight="1"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V990" s="112"/>
      <c r="AW990" s="112"/>
      <c r="AZ990" s="112"/>
      <c r="BA990" s="112"/>
      <c r="BB990" s="112"/>
    </row>
    <row r="991" ht="15.75" customHeight="1"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V991" s="112"/>
      <c r="AW991" s="112"/>
      <c r="AZ991" s="112"/>
      <c r="BA991" s="112"/>
      <c r="BB991" s="112"/>
    </row>
    <row r="992" ht="15.75" customHeight="1"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V992" s="112"/>
      <c r="AW992" s="112"/>
      <c r="AZ992" s="112"/>
      <c r="BA992" s="112"/>
      <c r="BB992" s="112"/>
    </row>
    <row r="993" ht="15.75" customHeight="1"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V993" s="112"/>
      <c r="AW993" s="112"/>
      <c r="AZ993" s="112"/>
      <c r="BA993" s="112"/>
      <c r="BB993" s="112"/>
    </row>
    <row r="994" ht="15.75" customHeight="1"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V994" s="112"/>
      <c r="AW994" s="112"/>
      <c r="AZ994" s="112"/>
      <c r="BA994" s="112"/>
      <c r="BB994" s="112"/>
    </row>
    <row r="995" ht="15.75" customHeight="1"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V995" s="112"/>
      <c r="AW995" s="112"/>
      <c r="AZ995" s="112"/>
      <c r="BA995" s="112"/>
      <c r="BB995" s="112"/>
    </row>
    <row r="996" ht="15.75" customHeight="1"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V996" s="112"/>
      <c r="AW996" s="112"/>
      <c r="AZ996" s="112"/>
      <c r="BA996" s="112"/>
      <c r="BB996" s="112"/>
    </row>
    <row r="997" ht="15.75" customHeight="1"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V997" s="112"/>
      <c r="AW997" s="112"/>
      <c r="AZ997" s="112"/>
      <c r="BA997" s="112"/>
      <c r="BB997" s="112"/>
    </row>
    <row r="998" ht="15.75" customHeight="1"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V998" s="112"/>
      <c r="AW998" s="112"/>
      <c r="AZ998" s="112"/>
      <c r="BA998" s="112"/>
      <c r="BB998" s="112"/>
    </row>
    <row r="999" ht="15.75" customHeight="1"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E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  <c r="AS999" s="112"/>
      <c r="AV999" s="112"/>
      <c r="AW999" s="112"/>
      <c r="AZ999" s="112"/>
      <c r="BA999" s="112"/>
      <c r="BB999" s="112"/>
    </row>
    <row r="1000" ht="15.75" customHeight="1"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E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  <c r="AS1000" s="112"/>
      <c r="AV1000" s="112"/>
      <c r="AW1000" s="112"/>
      <c r="AZ1000" s="112"/>
      <c r="BA1000" s="112"/>
      <c r="BB1000" s="112"/>
    </row>
    <row r="1001" ht="15.75" customHeight="1"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  <c r="AA1001" s="112"/>
      <c r="AB1001" s="112"/>
      <c r="AC1001" s="112"/>
      <c r="AE1001" s="112"/>
      <c r="AF1001" s="112"/>
      <c r="AG1001" s="112"/>
      <c r="AH1001" s="112"/>
      <c r="AI1001" s="112"/>
      <c r="AJ1001" s="112"/>
      <c r="AK1001" s="112"/>
      <c r="AL1001" s="112"/>
      <c r="AM1001" s="112"/>
      <c r="AN1001" s="112"/>
      <c r="AO1001" s="112"/>
      <c r="AP1001" s="112"/>
      <c r="AQ1001" s="112"/>
      <c r="AR1001" s="112"/>
      <c r="AS1001" s="112"/>
      <c r="AV1001" s="112"/>
      <c r="AW1001" s="112"/>
      <c r="AZ1001" s="112"/>
      <c r="BA1001" s="112"/>
      <c r="BB1001" s="112"/>
    </row>
    <row r="1002" ht="15.75" customHeight="1"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  <c r="AA1002" s="112"/>
      <c r="AB1002" s="112"/>
      <c r="AC1002" s="112"/>
      <c r="AE1002" s="112"/>
      <c r="AF1002" s="112"/>
      <c r="AG1002" s="112"/>
      <c r="AH1002" s="112"/>
      <c r="AI1002" s="112"/>
      <c r="AJ1002" s="112"/>
      <c r="AK1002" s="112"/>
      <c r="AL1002" s="112"/>
      <c r="AM1002" s="112"/>
      <c r="AN1002" s="112"/>
      <c r="AO1002" s="112"/>
      <c r="AP1002" s="112"/>
      <c r="AQ1002" s="112"/>
      <c r="AR1002" s="112"/>
      <c r="AS1002" s="112"/>
      <c r="AV1002" s="112"/>
      <c r="AW1002" s="112"/>
      <c r="AZ1002" s="112"/>
      <c r="BA1002" s="112"/>
      <c r="BB1002" s="112"/>
    </row>
    <row r="1003" ht="15.75" customHeight="1"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  <c r="AA1003" s="112"/>
      <c r="AB1003" s="112"/>
      <c r="AC1003" s="112"/>
      <c r="AE1003" s="112"/>
      <c r="AF1003" s="112"/>
      <c r="AG1003" s="112"/>
      <c r="AH1003" s="112"/>
      <c r="AI1003" s="112"/>
      <c r="AJ1003" s="112"/>
      <c r="AK1003" s="112"/>
      <c r="AL1003" s="112"/>
      <c r="AM1003" s="112"/>
      <c r="AN1003" s="112"/>
      <c r="AO1003" s="112"/>
      <c r="AP1003" s="112"/>
      <c r="AQ1003" s="112"/>
      <c r="AR1003" s="112"/>
      <c r="AS1003" s="112"/>
      <c r="AV1003" s="112"/>
      <c r="AW1003" s="112"/>
      <c r="AZ1003" s="112"/>
      <c r="BA1003" s="112"/>
      <c r="BB1003" s="112"/>
    </row>
    <row r="1004" ht="15.75" customHeight="1"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  <c r="AA1004" s="112"/>
      <c r="AB1004" s="112"/>
      <c r="AC1004" s="112"/>
      <c r="AE1004" s="112"/>
      <c r="AF1004" s="112"/>
      <c r="AG1004" s="112"/>
      <c r="AH1004" s="112"/>
      <c r="AI1004" s="112"/>
      <c r="AJ1004" s="112"/>
      <c r="AK1004" s="112"/>
      <c r="AL1004" s="112"/>
      <c r="AM1004" s="112"/>
      <c r="AN1004" s="112"/>
      <c r="AO1004" s="112"/>
      <c r="AP1004" s="112"/>
      <c r="AQ1004" s="112"/>
      <c r="AR1004" s="112"/>
      <c r="AS1004" s="112"/>
      <c r="AV1004" s="112"/>
      <c r="AW1004" s="112"/>
      <c r="AZ1004" s="112"/>
      <c r="BA1004" s="112"/>
      <c r="BB1004" s="112"/>
    </row>
    <row r="1005" ht="15.75" customHeight="1"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  <c r="AA1005" s="112"/>
      <c r="AB1005" s="112"/>
      <c r="AC1005" s="112"/>
      <c r="AE1005" s="112"/>
      <c r="AF1005" s="112"/>
      <c r="AG1005" s="112"/>
      <c r="AH1005" s="112"/>
      <c r="AI1005" s="112"/>
      <c r="AJ1005" s="112"/>
      <c r="AK1005" s="112"/>
      <c r="AL1005" s="112"/>
      <c r="AM1005" s="112"/>
      <c r="AN1005" s="112"/>
      <c r="AO1005" s="112"/>
      <c r="AP1005" s="112"/>
      <c r="AQ1005" s="112"/>
      <c r="AR1005" s="112"/>
      <c r="AS1005" s="112"/>
      <c r="AV1005" s="112"/>
      <c r="AW1005" s="112"/>
      <c r="AZ1005" s="112"/>
      <c r="BA1005" s="112"/>
      <c r="BB1005" s="112"/>
    </row>
    <row r="1006" ht="15.75" customHeight="1"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  <c r="AA1006" s="112"/>
      <c r="AB1006" s="112"/>
      <c r="AC1006" s="112"/>
      <c r="AE1006" s="112"/>
      <c r="AF1006" s="112"/>
      <c r="AG1006" s="112"/>
      <c r="AH1006" s="112"/>
      <c r="AI1006" s="112"/>
      <c r="AJ1006" s="112"/>
      <c r="AK1006" s="112"/>
      <c r="AL1006" s="112"/>
      <c r="AM1006" s="112"/>
      <c r="AN1006" s="112"/>
      <c r="AO1006" s="112"/>
      <c r="AP1006" s="112"/>
      <c r="AQ1006" s="112"/>
      <c r="AR1006" s="112"/>
      <c r="AS1006" s="112"/>
      <c r="AV1006" s="112"/>
      <c r="AW1006" s="112"/>
      <c r="AZ1006" s="112"/>
      <c r="BA1006" s="112"/>
      <c r="BB1006" s="112"/>
    </row>
    <row r="1007" ht="15.75" customHeight="1"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  <c r="AA1007" s="112"/>
      <c r="AB1007" s="112"/>
      <c r="AC1007" s="112"/>
      <c r="AE1007" s="112"/>
      <c r="AF1007" s="112"/>
      <c r="AG1007" s="112"/>
      <c r="AH1007" s="112"/>
      <c r="AI1007" s="112"/>
      <c r="AJ1007" s="112"/>
      <c r="AK1007" s="112"/>
      <c r="AL1007" s="112"/>
      <c r="AM1007" s="112"/>
      <c r="AN1007" s="112"/>
      <c r="AO1007" s="112"/>
      <c r="AP1007" s="112"/>
      <c r="AQ1007" s="112"/>
      <c r="AR1007" s="112"/>
      <c r="AS1007" s="112"/>
      <c r="AV1007" s="112"/>
      <c r="AW1007" s="112"/>
      <c r="AZ1007" s="112"/>
      <c r="BA1007" s="112"/>
      <c r="BB1007" s="112"/>
    </row>
    <row r="1008" ht="15.75" customHeight="1"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  <c r="AA1008" s="112"/>
      <c r="AB1008" s="112"/>
      <c r="AC1008" s="112"/>
      <c r="AE1008" s="112"/>
      <c r="AF1008" s="112"/>
      <c r="AG1008" s="112"/>
      <c r="AH1008" s="112"/>
      <c r="AI1008" s="112"/>
      <c r="AJ1008" s="112"/>
      <c r="AK1008" s="112"/>
      <c r="AL1008" s="112"/>
      <c r="AM1008" s="112"/>
      <c r="AN1008" s="112"/>
      <c r="AO1008" s="112"/>
      <c r="AP1008" s="112"/>
      <c r="AQ1008" s="112"/>
      <c r="AR1008" s="112"/>
      <c r="AS1008" s="112"/>
      <c r="AV1008" s="112"/>
      <c r="AW1008" s="112"/>
      <c r="AZ1008" s="112"/>
      <c r="BA1008" s="112"/>
      <c r="BB1008" s="112"/>
    </row>
    <row r="1009" ht="15.75" customHeight="1"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  <c r="AA1009" s="112"/>
      <c r="AB1009" s="112"/>
      <c r="AC1009" s="112"/>
      <c r="AE1009" s="112"/>
      <c r="AF1009" s="112"/>
      <c r="AG1009" s="112"/>
      <c r="AH1009" s="112"/>
      <c r="AI1009" s="112"/>
      <c r="AJ1009" s="112"/>
      <c r="AK1009" s="112"/>
      <c r="AL1009" s="112"/>
      <c r="AM1009" s="112"/>
      <c r="AN1009" s="112"/>
      <c r="AO1009" s="112"/>
      <c r="AP1009" s="112"/>
      <c r="AQ1009" s="112"/>
      <c r="AR1009" s="112"/>
      <c r="AS1009" s="112"/>
      <c r="AV1009" s="112"/>
      <c r="AW1009" s="112"/>
      <c r="AZ1009" s="112"/>
      <c r="BA1009" s="112"/>
      <c r="BB1009" s="112"/>
    </row>
    <row r="1010" ht="15.75" customHeight="1"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  <c r="AA1010" s="112"/>
      <c r="AB1010" s="112"/>
      <c r="AC1010" s="112"/>
      <c r="AE1010" s="112"/>
      <c r="AF1010" s="112"/>
      <c r="AG1010" s="112"/>
      <c r="AH1010" s="112"/>
      <c r="AI1010" s="112"/>
      <c r="AJ1010" s="112"/>
      <c r="AK1010" s="112"/>
      <c r="AL1010" s="112"/>
      <c r="AM1010" s="112"/>
      <c r="AN1010" s="112"/>
      <c r="AO1010" s="112"/>
      <c r="AP1010" s="112"/>
      <c r="AQ1010" s="112"/>
      <c r="AR1010" s="112"/>
      <c r="AS1010" s="112"/>
      <c r="AV1010" s="112"/>
      <c r="AW1010" s="112"/>
      <c r="AZ1010" s="112"/>
      <c r="BA1010" s="112"/>
      <c r="BB1010" s="112"/>
    </row>
    <row r="1011" ht="15.75" customHeight="1"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  <c r="AA1011" s="112"/>
      <c r="AB1011" s="112"/>
      <c r="AC1011" s="112"/>
      <c r="AE1011" s="112"/>
      <c r="AF1011" s="112"/>
      <c r="AG1011" s="112"/>
      <c r="AH1011" s="112"/>
      <c r="AI1011" s="112"/>
      <c r="AJ1011" s="112"/>
      <c r="AK1011" s="112"/>
      <c r="AL1011" s="112"/>
      <c r="AM1011" s="112"/>
      <c r="AN1011" s="112"/>
      <c r="AO1011" s="112"/>
      <c r="AP1011" s="112"/>
      <c r="AQ1011" s="112"/>
      <c r="AR1011" s="112"/>
      <c r="AS1011" s="112"/>
      <c r="AV1011" s="112"/>
      <c r="AW1011" s="112"/>
      <c r="AZ1011" s="112"/>
      <c r="BA1011" s="112"/>
      <c r="BB1011" s="112"/>
    </row>
    <row r="1012" ht="15.75" customHeight="1"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  <c r="AA1012" s="112"/>
      <c r="AB1012" s="112"/>
      <c r="AC1012" s="112"/>
      <c r="AE1012" s="112"/>
      <c r="AF1012" s="112"/>
      <c r="AG1012" s="112"/>
      <c r="AH1012" s="112"/>
      <c r="AI1012" s="112"/>
      <c r="AJ1012" s="112"/>
      <c r="AK1012" s="112"/>
      <c r="AL1012" s="112"/>
      <c r="AM1012" s="112"/>
      <c r="AN1012" s="112"/>
      <c r="AO1012" s="112"/>
      <c r="AP1012" s="112"/>
      <c r="AQ1012" s="112"/>
      <c r="AR1012" s="112"/>
      <c r="AS1012" s="112"/>
      <c r="AV1012" s="112"/>
      <c r="AW1012" s="112"/>
      <c r="AZ1012" s="112"/>
      <c r="BA1012" s="112"/>
      <c r="BB1012" s="112"/>
    </row>
    <row r="1013" ht="15.75" customHeight="1"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  <c r="AA1013" s="112"/>
      <c r="AB1013" s="112"/>
      <c r="AC1013" s="112"/>
      <c r="AE1013" s="112"/>
      <c r="AF1013" s="112"/>
      <c r="AG1013" s="112"/>
      <c r="AH1013" s="112"/>
      <c r="AI1013" s="112"/>
      <c r="AJ1013" s="112"/>
      <c r="AK1013" s="112"/>
      <c r="AL1013" s="112"/>
      <c r="AM1013" s="112"/>
      <c r="AN1013" s="112"/>
      <c r="AO1013" s="112"/>
      <c r="AP1013" s="112"/>
      <c r="AQ1013" s="112"/>
      <c r="AR1013" s="112"/>
      <c r="AS1013" s="112"/>
      <c r="AV1013" s="112"/>
      <c r="AW1013" s="112"/>
      <c r="AZ1013" s="112"/>
      <c r="BA1013" s="112"/>
      <c r="BB1013" s="112"/>
    </row>
    <row r="1014" ht="15.75" customHeight="1"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  <c r="AA1014" s="112"/>
      <c r="AB1014" s="112"/>
      <c r="AC1014" s="112"/>
      <c r="AE1014" s="112"/>
      <c r="AF1014" s="112"/>
      <c r="AG1014" s="112"/>
      <c r="AH1014" s="112"/>
      <c r="AI1014" s="112"/>
      <c r="AJ1014" s="112"/>
      <c r="AK1014" s="112"/>
      <c r="AL1014" s="112"/>
      <c r="AM1014" s="112"/>
      <c r="AN1014" s="112"/>
      <c r="AO1014" s="112"/>
      <c r="AP1014" s="112"/>
      <c r="AQ1014" s="112"/>
      <c r="AR1014" s="112"/>
      <c r="AS1014" s="112"/>
      <c r="AV1014" s="112"/>
      <c r="AW1014" s="112"/>
      <c r="AZ1014" s="112"/>
      <c r="BA1014" s="112"/>
      <c r="BB1014" s="112"/>
    </row>
    <row r="1015" ht="15.75" customHeight="1"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  <c r="AA1015" s="112"/>
      <c r="AB1015" s="112"/>
      <c r="AC1015" s="112"/>
      <c r="AE1015" s="112"/>
      <c r="AF1015" s="112"/>
      <c r="AG1015" s="112"/>
      <c r="AH1015" s="112"/>
      <c r="AI1015" s="112"/>
      <c r="AJ1015" s="112"/>
      <c r="AK1015" s="112"/>
      <c r="AL1015" s="112"/>
      <c r="AM1015" s="112"/>
      <c r="AN1015" s="112"/>
      <c r="AO1015" s="112"/>
      <c r="AP1015" s="112"/>
      <c r="AQ1015" s="112"/>
      <c r="AR1015" s="112"/>
      <c r="AS1015" s="112"/>
      <c r="AV1015" s="112"/>
      <c r="AW1015" s="112"/>
      <c r="AZ1015" s="112"/>
      <c r="BA1015" s="112"/>
      <c r="BB1015" s="112"/>
    </row>
    <row r="1016" ht="15.75" customHeight="1"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  <c r="AA1016" s="112"/>
      <c r="AB1016" s="112"/>
      <c r="AC1016" s="112"/>
      <c r="AE1016" s="112"/>
      <c r="AF1016" s="112"/>
      <c r="AG1016" s="112"/>
      <c r="AH1016" s="112"/>
      <c r="AI1016" s="112"/>
      <c r="AJ1016" s="112"/>
      <c r="AK1016" s="112"/>
      <c r="AL1016" s="112"/>
      <c r="AM1016" s="112"/>
      <c r="AN1016" s="112"/>
      <c r="AO1016" s="112"/>
      <c r="AP1016" s="112"/>
      <c r="AQ1016" s="112"/>
      <c r="AR1016" s="112"/>
      <c r="AS1016" s="112"/>
      <c r="AV1016" s="112"/>
      <c r="AW1016" s="112"/>
      <c r="AZ1016" s="112"/>
      <c r="BA1016" s="112"/>
      <c r="BB1016" s="112"/>
    </row>
    <row r="1017" ht="15.75" customHeight="1"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  <c r="AA1017" s="112"/>
      <c r="AB1017" s="112"/>
      <c r="AC1017" s="112"/>
      <c r="AE1017" s="112"/>
      <c r="AF1017" s="112"/>
      <c r="AG1017" s="112"/>
      <c r="AH1017" s="112"/>
      <c r="AI1017" s="112"/>
      <c r="AJ1017" s="112"/>
      <c r="AK1017" s="112"/>
      <c r="AL1017" s="112"/>
      <c r="AM1017" s="112"/>
      <c r="AN1017" s="112"/>
      <c r="AO1017" s="112"/>
      <c r="AP1017" s="112"/>
      <c r="AQ1017" s="112"/>
      <c r="AR1017" s="112"/>
      <c r="AS1017" s="112"/>
      <c r="AV1017" s="112"/>
      <c r="AW1017" s="112"/>
      <c r="AZ1017" s="112"/>
      <c r="BA1017" s="112"/>
      <c r="BB1017" s="112"/>
    </row>
    <row r="1018" ht="15.75" customHeight="1"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  <c r="AA1018" s="112"/>
      <c r="AB1018" s="112"/>
      <c r="AC1018" s="112"/>
      <c r="AE1018" s="112"/>
      <c r="AF1018" s="112"/>
      <c r="AG1018" s="112"/>
      <c r="AH1018" s="112"/>
      <c r="AI1018" s="112"/>
      <c r="AJ1018" s="112"/>
      <c r="AK1018" s="112"/>
      <c r="AL1018" s="112"/>
      <c r="AM1018" s="112"/>
      <c r="AN1018" s="112"/>
      <c r="AO1018" s="112"/>
      <c r="AP1018" s="112"/>
      <c r="AQ1018" s="112"/>
      <c r="AR1018" s="112"/>
      <c r="AS1018" s="112"/>
      <c r="AV1018" s="112"/>
      <c r="AW1018" s="112"/>
      <c r="AZ1018" s="112"/>
      <c r="BA1018" s="112"/>
      <c r="BB1018" s="112"/>
    </row>
    <row r="1019" ht="15.75" customHeight="1"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  <c r="AA1019" s="112"/>
      <c r="AB1019" s="112"/>
      <c r="AC1019" s="112"/>
      <c r="AE1019" s="112"/>
      <c r="AF1019" s="112"/>
      <c r="AG1019" s="112"/>
      <c r="AH1019" s="112"/>
      <c r="AI1019" s="112"/>
      <c r="AJ1019" s="112"/>
      <c r="AK1019" s="112"/>
      <c r="AL1019" s="112"/>
      <c r="AM1019" s="112"/>
      <c r="AN1019" s="112"/>
      <c r="AO1019" s="112"/>
      <c r="AP1019" s="112"/>
      <c r="AQ1019" s="112"/>
      <c r="AR1019" s="112"/>
      <c r="AS1019" s="112"/>
      <c r="AV1019" s="112"/>
      <c r="AW1019" s="112"/>
      <c r="AZ1019" s="112"/>
      <c r="BA1019" s="112"/>
      <c r="BB1019" s="112"/>
    </row>
    <row r="1020" ht="15.75" customHeight="1"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  <c r="AA1020" s="112"/>
      <c r="AB1020" s="112"/>
      <c r="AC1020" s="112"/>
      <c r="AE1020" s="112"/>
      <c r="AF1020" s="112"/>
      <c r="AG1020" s="112"/>
      <c r="AH1020" s="112"/>
      <c r="AI1020" s="112"/>
      <c r="AJ1020" s="112"/>
      <c r="AK1020" s="112"/>
      <c r="AL1020" s="112"/>
      <c r="AM1020" s="112"/>
      <c r="AN1020" s="112"/>
      <c r="AO1020" s="112"/>
      <c r="AP1020" s="112"/>
      <c r="AQ1020" s="112"/>
      <c r="AR1020" s="112"/>
      <c r="AS1020" s="112"/>
      <c r="AV1020" s="112"/>
      <c r="AW1020" s="112"/>
      <c r="AZ1020" s="112"/>
      <c r="BA1020" s="112"/>
      <c r="BB1020" s="112"/>
    </row>
    <row r="1021" ht="15.75" customHeight="1"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  <c r="AA1021" s="112"/>
      <c r="AB1021" s="112"/>
      <c r="AC1021" s="112"/>
      <c r="AE1021" s="112"/>
      <c r="AF1021" s="112"/>
      <c r="AG1021" s="112"/>
      <c r="AH1021" s="112"/>
      <c r="AI1021" s="112"/>
      <c r="AJ1021" s="112"/>
      <c r="AK1021" s="112"/>
      <c r="AL1021" s="112"/>
      <c r="AM1021" s="112"/>
      <c r="AN1021" s="112"/>
      <c r="AO1021" s="112"/>
      <c r="AP1021" s="112"/>
      <c r="AQ1021" s="112"/>
      <c r="AR1021" s="112"/>
      <c r="AS1021" s="112"/>
      <c r="AV1021" s="112"/>
      <c r="AW1021" s="112"/>
      <c r="AZ1021" s="112"/>
      <c r="BA1021" s="112"/>
      <c r="BB1021" s="112"/>
    </row>
    <row r="1022" ht="15.75" customHeight="1"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  <c r="AA1022" s="112"/>
      <c r="AB1022" s="112"/>
      <c r="AC1022" s="112"/>
      <c r="AE1022" s="112"/>
      <c r="AF1022" s="112"/>
      <c r="AG1022" s="112"/>
      <c r="AH1022" s="112"/>
      <c r="AI1022" s="112"/>
      <c r="AJ1022" s="112"/>
      <c r="AK1022" s="112"/>
      <c r="AL1022" s="112"/>
      <c r="AM1022" s="112"/>
      <c r="AN1022" s="112"/>
      <c r="AO1022" s="112"/>
      <c r="AP1022" s="112"/>
      <c r="AQ1022" s="112"/>
      <c r="AR1022" s="112"/>
      <c r="AS1022" s="112"/>
      <c r="AV1022" s="112"/>
      <c r="AW1022" s="112"/>
      <c r="AZ1022" s="112"/>
      <c r="BA1022" s="112"/>
      <c r="BB1022" s="112"/>
    </row>
    <row r="1023" ht="15.75" customHeight="1"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  <c r="AA1023" s="112"/>
      <c r="AB1023" s="112"/>
      <c r="AC1023" s="112"/>
      <c r="AE1023" s="112"/>
      <c r="AF1023" s="112"/>
      <c r="AG1023" s="112"/>
      <c r="AH1023" s="112"/>
      <c r="AI1023" s="112"/>
      <c r="AJ1023" s="112"/>
      <c r="AK1023" s="112"/>
      <c r="AL1023" s="112"/>
      <c r="AM1023" s="112"/>
      <c r="AN1023" s="112"/>
      <c r="AO1023" s="112"/>
      <c r="AP1023" s="112"/>
      <c r="AQ1023" s="112"/>
      <c r="AR1023" s="112"/>
      <c r="AS1023" s="112"/>
      <c r="AV1023" s="112"/>
      <c r="AW1023" s="112"/>
      <c r="AZ1023" s="112"/>
      <c r="BA1023" s="112"/>
      <c r="BB1023" s="112"/>
    </row>
    <row r="1024" ht="15.75" customHeight="1"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  <c r="AA1024" s="112"/>
      <c r="AB1024" s="112"/>
      <c r="AC1024" s="112"/>
      <c r="AE1024" s="112"/>
      <c r="AF1024" s="112"/>
      <c r="AG1024" s="112"/>
      <c r="AH1024" s="112"/>
      <c r="AI1024" s="112"/>
      <c r="AJ1024" s="112"/>
      <c r="AK1024" s="112"/>
      <c r="AL1024" s="112"/>
      <c r="AM1024" s="112"/>
      <c r="AN1024" s="112"/>
      <c r="AO1024" s="112"/>
      <c r="AP1024" s="112"/>
      <c r="AQ1024" s="112"/>
      <c r="AR1024" s="112"/>
      <c r="AS1024" s="112"/>
      <c r="AV1024" s="112"/>
      <c r="AW1024" s="112"/>
      <c r="AZ1024" s="112"/>
      <c r="BA1024" s="112"/>
      <c r="BB1024" s="112"/>
    </row>
    <row r="1025" ht="15.75" customHeight="1"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  <c r="AA1025" s="112"/>
      <c r="AB1025" s="112"/>
      <c r="AC1025" s="112"/>
      <c r="AE1025" s="112"/>
      <c r="AF1025" s="112"/>
      <c r="AG1025" s="112"/>
      <c r="AH1025" s="112"/>
      <c r="AI1025" s="112"/>
      <c r="AJ1025" s="112"/>
      <c r="AK1025" s="112"/>
      <c r="AL1025" s="112"/>
      <c r="AM1025" s="112"/>
      <c r="AN1025" s="112"/>
      <c r="AO1025" s="112"/>
      <c r="AP1025" s="112"/>
      <c r="AQ1025" s="112"/>
      <c r="AR1025" s="112"/>
      <c r="AS1025" s="112"/>
      <c r="AV1025" s="112"/>
      <c r="AW1025" s="112"/>
      <c r="AZ1025" s="112"/>
      <c r="BA1025" s="112"/>
      <c r="BB1025" s="112"/>
    </row>
    <row r="1026" ht="15.75" customHeight="1"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  <c r="AA1026" s="112"/>
      <c r="AB1026" s="112"/>
      <c r="AC1026" s="112"/>
      <c r="AE1026" s="112"/>
      <c r="AF1026" s="112"/>
      <c r="AG1026" s="112"/>
      <c r="AH1026" s="112"/>
      <c r="AI1026" s="112"/>
      <c r="AJ1026" s="112"/>
      <c r="AK1026" s="112"/>
      <c r="AL1026" s="112"/>
      <c r="AM1026" s="112"/>
      <c r="AN1026" s="112"/>
      <c r="AO1026" s="112"/>
      <c r="AP1026" s="112"/>
      <c r="AQ1026" s="112"/>
      <c r="AR1026" s="112"/>
      <c r="AS1026" s="112"/>
      <c r="AV1026" s="112"/>
      <c r="AW1026" s="112"/>
      <c r="AZ1026" s="112"/>
      <c r="BA1026" s="112"/>
      <c r="BB1026" s="112"/>
    </row>
    <row r="1027" ht="15.75" customHeight="1"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  <c r="AA1027" s="112"/>
      <c r="AB1027" s="112"/>
      <c r="AC1027" s="112"/>
      <c r="AE1027" s="112"/>
      <c r="AF1027" s="112"/>
      <c r="AG1027" s="112"/>
      <c r="AH1027" s="112"/>
      <c r="AI1027" s="112"/>
      <c r="AJ1027" s="112"/>
      <c r="AK1027" s="112"/>
      <c r="AL1027" s="112"/>
      <c r="AM1027" s="112"/>
      <c r="AN1027" s="112"/>
      <c r="AO1027" s="112"/>
      <c r="AP1027" s="112"/>
      <c r="AQ1027" s="112"/>
      <c r="AR1027" s="112"/>
      <c r="AS1027" s="112"/>
      <c r="AV1027" s="112"/>
      <c r="AW1027" s="112"/>
      <c r="AZ1027" s="112"/>
      <c r="BA1027" s="112"/>
      <c r="BB1027" s="112"/>
    </row>
    <row r="1028" ht="15.75" customHeight="1"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  <c r="AA1028" s="112"/>
      <c r="AB1028" s="112"/>
      <c r="AC1028" s="112"/>
      <c r="AE1028" s="112"/>
      <c r="AF1028" s="112"/>
      <c r="AG1028" s="112"/>
      <c r="AH1028" s="112"/>
      <c r="AI1028" s="112"/>
      <c r="AJ1028" s="112"/>
      <c r="AK1028" s="112"/>
      <c r="AL1028" s="112"/>
      <c r="AM1028" s="112"/>
      <c r="AN1028" s="112"/>
      <c r="AO1028" s="112"/>
      <c r="AP1028" s="112"/>
      <c r="AQ1028" s="112"/>
      <c r="AR1028" s="112"/>
      <c r="AS1028" s="112"/>
      <c r="AV1028" s="112"/>
      <c r="AW1028" s="112"/>
      <c r="AZ1028" s="112"/>
      <c r="BA1028" s="112"/>
      <c r="BB1028" s="112"/>
    </row>
  </sheetData>
  <mergeCells count="42">
    <mergeCell ref="B1:E1"/>
    <mergeCell ref="B2:E2"/>
    <mergeCell ref="A7:B7"/>
    <mergeCell ref="C7:K7"/>
    <mergeCell ref="L7:O7"/>
    <mergeCell ref="P7:T7"/>
    <mergeCell ref="A8:B8"/>
    <mergeCell ref="P8:T8"/>
    <mergeCell ref="L9:O9"/>
    <mergeCell ref="L11:O12"/>
    <mergeCell ref="L16:O16"/>
    <mergeCell ref="P12:T12"/>
    <mergeCell ref="A13:T13"/>
    <mergeCell ref="C14:T14"/>
    <mergeCell ref="H15:S15"/>
    <mergeCell ref="P16:S16"/>
    <mergeCell ref="C8:K8"/>
    <mergeCell ref="L8:O8"/>
    <mergeCell ref="C9:K9"/>
    <mergeCell ref="P9:T9"/>
    <mergeCell ref="A10:T10"/>
    <mergeCell ref="A11:B12"/>
    <mergeCell ref="P11:T11"/>
    <mergeCell ref="C76:G76"/>
    <mergeCell ref="H76:K76"/>
    <mergeCell ref="L76:T77"/>
    <mergeCell ref="C77:G77"/>
    <mergeCell ref="H77:K77"/>
    <mergeCell ref="A78:B79"/>
    <mergeCell ref="C78:G78"/>
    <mergeCell ref="H78:K78"/>
    <mergeCell ref="L78:T79"/>
    <mergeCell ref="C79:G79"/>
    <mergeCell ref="H79:K79"/>
    <mergeCell ref="C11:K11"/>
    <mergeCell ref="C12:K12"/>
    <mergeCell ref="A14:B15"/>
    <mergeCell ref="C15:G15"/>
    <mergeCell ref="C16:G16"/>
    <mergeCell ref="H16:K16"/>
    <mergeCell ref="A76:B77"/>
    <mergeCell ref="A82:D82"/>
  </mergeCells>
  <conditionalFormatting sqref="C11">
    <cfRule type="notContainsText" dxfId="3" priority="1" operator="notContains" text="&lt;TYPE YOUR FULL NAME HERE&gt;">
      <formula>ISERROR(SEARCH(("&lt;TYPE YOUR FULL NAME HERE&gt;"),(C11)))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5.43"/>
    <col customWidth="1" min="3" max="19" width="7.29"/>
    <col customWidth="1" min="20" max="20" width="8.71"/>
    <col customWidth="1" min="21" max="21" width="7.29"/>
    <col customWidth="1" min="22" max="45" width="5.14"/>
    <col customWidth="1" min="46" max="46" width="2.57"/>
    <col customWidth="1" min="47" max="48" width="8.0"/>
    <col customWidth="1" min="49" max="49" width="5.14"/>
    <col customWidth="1" min="50" max="50" width="2.57"/>
    <col customWidth="1" min="51" max="52" width="8.0"/>
    <col customWidth="1" min="53" max="53" width="2.57"/>
    <col customWidth="1" min="54" max="57" width="8.0"/>
    <col customWidth="1" min="58" max="60" width="5.14"/>
    <col customWidth="1" min="61" max="61" width="2.57"/>
    <col customWidth="1" min="62" max="65" width="8.0"/>
  </cols>
  <sheetData>
    <row r="1" ht="34.5" customHeight="1">
      <c r="A1" s="38"/>
      <c r="B1" s="39" t="s">
        <v>23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W1" s="38"/>
      <c r="AX1" s="38"/>
      <c r="BA1" s="119"/>
      <c r="BD1" s="120"/>
      <c r="BE1" s="120"/>
      <c r="BF1" s="119"/>
      <c r="BG1" s="119"/>
      <c r="BH1" s="119"/>
      <c r="BI1" s="119"/>
      <c r="BL1" s="120"/>
      <c r="BM1" s="120"/>
    </row>
    <row r="2" ht="15.75" customHeight="1">
      <c r="B2" s="121" t="str">
        <f>Prelim!B2</f>
        <v>&lt;Type Campus here&gt;</v>
      </c>
      <c r="BA2" s="38"/>
      <c r="BD2" s="120"/>
      <c r="BE2" s="120"/>
      <c r="BF2" s="38"/>
      <c r="BG2" s="38"/>
      <c r="BH2" s="38"/>
      <c r="BI2" s="38"/>
      <c r="BL2" s="120"/>
      <c r="BM2" s="120"/>
    </row>
    <row r="3" ht="15.75" customHeight="1">
      <c r="BA3" s="41"/>
      <c r="BD3" s="120"/>
      <c r="BE3" s="120"/>
      <c r="BF3" s="41"/>
      <c r="BG3" s="41"/>
      <c r="BH3" s="41"/>
      <c r="BI3" s="41"/>
      <c r="BL3" s="120"/>
      <c r="BM3" s="120"/>
    </row>
    <row r="4" ht="15.75" customHeight="1">
      <c r="A4" s="41"/>
      <c r="B4" s="42" t="s">
        <v>75</v>
      </c>
      <c r="C4" s="43"/>
      <c r="E4" s="43"/>
      <c r="F4" s="43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W4" s="41"/>
      <c r="AX4" s="41"/>
      <c r="BA4" s="47"/>
      <c r="BF4" s="47"/>
      <c r="BG4" s="47"/>
      <c r="BH4" s="47"/>
      <c r="BI4" s="47"/>
    </row>
    <row r="5" ht="26.25" customHeight="1">
      <c r="A5" s="44"/>
      <c r="B5" s="45" t="s">
        <v>26</v>
      </c>
      <c r="C5" s="122" t="str">
        <f>Prelim!C5</f>
        <v>&lt;TYPE SEM/SY HERE&gt;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W5" s="47"/>
      <c r="AX5" s="47"/>
      <c r="BA5" s="57"/>
      <c r="BF5" s="57"/>
      <c r="BG5" s="57"/>
      <c r="BH5" s="57"/>
      <c r="BI5" s="57"/>
    </row>
    <row r="6" ht="1.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W6" s="47"/>
      <c r="AX6" s="47"/>
      <c r="BA6" s="47"/>
      <c r="BF6" s="47"/>
      <c r="BG6" s="47"/>
      <c r="BH6" s="47"/>
      <c r="BI6" s="47"/>
    </row>
    <row r="7" ht="27.75" customHeight="1">
      <c r="A7" s="53" t="s">
        <v>28</v>
      </c>
      <c r="B7" s="3"/>
      <c r="C7" s="54" t="str">
        <f>MConfig!C5</f>
        <v>IS303</v>
      </c>
      <c r="D7" s="2"/>
      <c r="E7" s="2"/>
      <c r="F7" s="2"/>
      <c r="G7" s="2"/>
      <c r="H7" s="2"/>
      <c r="I7" s="2"/>
      <c r="J7" s="2"/>
      <c r="K7" s="3"/>
      <c r="L7" s="125" t="s">
        <v>29</v>
      </c>
      <c r="M7" s="2"/>
      <c r="N7" s="2"/>
      <c r="O7" s="3"/>
      <c r="P7" s="51"/>
      <c r="Q7" s="2"/>
      <c r="R7" s="2"/>
      <c r="S7" s="2"/>
      <c r="T7" s="2"/>
      <c r="U7" s="3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W7" s="47"/>
      <c r="AX7" s="47"/>
    </row>
    <row r="8" ht="30.75" customHeight="1">
      <c r="A8" s="53" t="s">
        <v>30</v>
      </c>
      <c r="B8" s="3"/>
      <c r="C8" s="54" t="str">
        <f>MConfig!C6</f>
        <v>INFO SEC</v>
      </c>
      <c r="D8" s="2"/>
      <c r="E8" s="2"/>
      <c r="F8" s="2"/>
      <c r="G8" s="2"/>
      <c r="H8" s="2"/>
      <c r="I8" s="2"/>
      <c r="J8" s="2"/>
      <c r="K8" s="3"/>
      <c r="L8" s="125" t="s">
        <v>31</v>
      </c>
      <c r="M8" s="2"/>
      <c r="N8" s="2"/>
      <c r="O8" s="3"/>
      <c r="P8" s="55"/>
      <c r="Q8" s="2"/>
      <c r="R8" s="2"/>
      <c r="S8" s="2"/>
      <c r="T8" s="2"/>
      <c r="U8" s="3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W8" s="57"/>
      <c r="AX8" s="57"/>
    </row>
    <row r="9" ht="24.0" customHeight="1">
      <c r="A9" s="126" t="s">
        <v>6</v>
      </c>
      <c r="B9" s="127"/>
      <c r="C9" s="128">
        <f>MConfig!C7</f>
        <v>3</v>
      </c>
      <c r="D9" s="2"/>
      <c r="E9" s="2"/>
      <c r="F9" s="2"/>
      <c r="G9" s="2"/>
      <c r="H9" s="2"/>
      <c r="I9" s="2"/>
      <c r="J9" s="2"/>
      <c r="K9" s="3"/>
      <c r="L9" s="61" t="s">
        <v>32</v>
      </c>
      <c r="M9" s="2"/>
      <c r="N9" s="2"/>
      <c r="O9" s="3"/>
      <c r="P9" s="129"/>
      <c r="Q9" s="8"/>
      <c r="R9" s="8"/>
      <c r="S9" s="8"/>
      <c r="T9" s="8"/>
      <c r="U9" s="9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W9" s="47"/>
      <c r="AX9" s="47"/>
    </row>
    <row r="10" ht="23.25" customHeight="1">
      <c r="A10" s="6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BA10" s="12"/>
      <c r="BB10" s="12"/>
      <c r="BC10" s="12"/>
      <c r="BF10" s="12"/>
      <c r="BG10" s="12"/>
      <c r="BH10" s="12"/>
      <c r="BI10" s="12"/>
      <c r="BJ10" s="12"/>
      <c r="BK10" s="12"/>
    </row>
    <row r="11" ht="23.25" customHeight="1">
      <c r="A11" s="64" t="s">
        <v>33</v>
      </c>
      <c r="B11" s="6"/>
      <c r="C11" s="65" t="str">
        <f>Prelim!C11</f>
        <v>&lt;TYPE YOUR FULL NAME HERE&gt;</v>
      </c>
      <c r="D11" s="2"/>
      <c r="E11" s="2"/>
      <c r="F11" s="2"/>
      <c r="G11" s="2"/>
      <c r="H11" s="2"/>
      <c r="I11" s="2"/>
      <c r="J11" s="2"/>
      <c r="K11" s="3"/>
      <c r="L11" s="66" t="s">
        <v>35</v>
      </c>
      <c r="O11" s="6"/>
      <c r="P11" s="67"/>
      <c r="Q11" s="8"/>
      <c r="R11" s="8"/>
      <c r="S11" s="8"/>
      <c r="T11" s="8"/>
      <c r="U11" s="9"/>
      <c r="BA11" s="12"/>
      <c r="BB11" s="12"/>
      <c r="BC11" s="12"/>
      <c r="BF11" s="12"/>
      <c r="BG11" s="12"/>
      <c r="BH11" s="12"/>
      <c r="BI11" s="12"/>
      <c r="BJ11" s="12"/>
      <c r="BK11" s="12"/>
    </row>
    <row r="12" ht="23.25" customHeight="1">
      <c r="A12" s="68"/>
      <c r="B12" s="9"/>
      <c r="C12" s="69" t="s">
        <v>36</v>
      </c>
      <c r="D12" s="8"/>
      <c r="E12" s="8"/>
      <c r="F12" s="8"/>
      <c r="G12" s="8"/>
      <c r="H12" s="8"/>
      <c r="I12" s="8"/>
      <c r="J12" s="8"/>
      <c r="K12" s="9"/>
      <c r="L12" s="8"/>
      <c r="M12" s="8"/>
      <c r="N12" s="8"/>
      <c r="O12" s="9"/>
      <c r="P12" s="70" t="s">
        <v>37</v>
      </c>
      <c r="Q12" s="8"/>
      <c r="R12" s="8"/>
      <c r="S12" s="8"/>
      <c r="T12" s="8"/>
      <c r="U12" s="9"/>
      <c r="BA12" s="12"/>
      <c r="BB12" s="12"/>
      <c r="BC12" s="12"/>
      <c r="BF12" s="12"/>
      <c r="BG12" s="12"/>
      <c r="BH12" s="12"/>
      <c r="BI12" s="12"/>
      <c r="BJ12" s="12"/>
      <c r="BK12" s="12"/>
    </row>
    <row r="13" ht="23.25" customHeight="1">
      <c r="A13" s="6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BA13" s="12"/>
      <c r="BB13" s="12"/>
      <c r="BC13" s="12"/>
      <c r="BF13" s="12"/>
      <c r="BG13" s="12"/>
      <c r="BH13" s="12"/>
      <c r="BI13" s="12"/>
      <c r="BJ13" s="12"/>
      <c r="BK13" s="12"/>
    </row>
    <row r="14" ht="23.25" customHeight="1">
      <c r="A14" s="71" t="s">
        <v>38</v>
      </c>
      <c r="B14" s="72"/>
      <c r="C14" s="73" t="s">
        <v>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BA14" s="12"/>
      <c r="BB14" s="12"/>
      <c r="BC14" s="12"/>
      <c r="BF14" s="12"/>
      <c r="BG14" s="12"/>
      <c r="BH14" s="12"/>
      <c r="BI14" s="12"/>
      <c r="BJ14" s="12"/>
      <c r="BK14" s="12"/>
    </row>
    <row r="15" ht="44.25" customHeight="1">
      <c r="A15" s="68"/>
      <c r="B15" s="9"/>
      <c r="C15" s="74" t="s">
        <v>14</v>
      </c>
      <c r="D15" s="2"/>
      <c r="E15" s="2"/>
      <c r="F15" s="2"/>
      <c r="G15" s="3"/>
      <c r="H15" s="75" t="s">
        <v>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76"/>
      <c r="U15" s="76" t="s">
        <v>77</v>
      </c>
      <c r="V15" s="78"/>
      <c r="W15" s="78"/>
      <c r="X15" s="78"/>
      <c r="Y15" s="78"/>
      <c r="Z15" s="79"/>
      <c r="AA15" s="79"/>
      <c r="AB15" s="79"/>
      <c r="AC15" s="79"/>
      <c r="AD15" s="79"/>
      <c r="AE15" s="79"/>
      <c r="AF15" s="79"/>
      <c r="BA15" s="12"/>
      <c r="BB15" s="12"/>
      <c r="BC15" s="12"/>
      <c r="BF15" s="12"/>
      <c r="BG15" s="12"/>
      <c r="BH15" s="12"/>
      <c r="BI15" s="12"/>
      <c r="BJ15" s="12"/>
      <c r="BK15" s="12"/>
    </row>
    <row r="16" ht="29.25" customHeight="1">
      <c r="A16" s="80"/>
      <c r="B16" s="81"/>
      <c r="C16" s="131"/>
      <c r="D16" s="2"/>
      <c r="E16" s="2"/>
      <c r="F16" s="2"/>
      <c r="G16" s="3"/>
      <c r="H16" s="141" t="s">
        <v>69</v>
      </c>
      <c r="I16" s="2"/>
      <c r="J16" s="2"/>
      <c r="K16" s="3"/>
      <c r="L16" s="141" t="s">
        <v>70</v>
      </c>
      <c r="M16" s="2"/>
      <c r="N16" s="2"/>
      <c r="O16" s="3"/>
      <c r="P16" s="142" t="s">
        <v>45</v>
      </c>
      <c r="Q16" s="2"/>
      <c r="R16" s="2"/>
      <c r="S16" s="3"/>
      <c r="T16" s="143" t="s">
        <v>78</v>
      </c>
      <c r="U16" s="132"/>
      <c r="BA16" s="12"/>
      <c r="BB16" s="12"/>
      <c r="BC16" s="12"/>
      <c r="BF16" s="12"/>
      <c r="BG16" s="12"/>
      <c r="BH16" s="12"/>
      <c r="BI16" s="12"/>
      <c r="BJ16" s="12"/>
      <c r="BK16" s="12"/>
    </row>
    <row r="17" ht="24.75" customHeight="1">
      <c r="A17" s="80"/>
      <c r="B17" s="81"/>
      <c r="C17" s="86" t="s">
        <v>46</v>
      </c>
      <c r="D17" s="86" t="s">
        <v>47</v>
      </c>
      <c r="E17" s="86" t="s">
        <v>48</v>
      </c>
      <c r="F17" s="86" t="s">
        <v>49</v>
      </c>
      <c r="G17" s="86" t="s">
        <v>50</v>
      </c>
      <c r="H17" s="87" t="s">
        <v>51</v>
      </c>
      <c r="I17" s="86" t="s">
        <v>52</v>
      </c>
      <c r="J17" s="86" t="s">
        <v>53</v>
      </c>
      <c r="K17" s="86" t="s">
        <v>54</v>
      </c>
      <c r="L17" s="87" t="s">
        <v>55</v>
      </c>
      <c r="M17" s="86" t="s">
        <v>56</v>
      </c>
      <c r="N17" s="86" t="s">
        <v>57</v>
      </c>
      <c r="O17" s="86" t="s">
        <v>58</v>
      </c>
      <c r="P17" s="88" t="s">
        <v>59</v>
      </c>
      <c r="Q17" s="88" t="s">
        <v>60</v>
      </c>
      <c r="R17" s="88" t="s">
        <v>61</v>
      </c>
      <c r="S17" s="88" t="s">
        <v>62</v>
      </c>
      <c r="T17" s="89"/>
      <c r="U17" s="89" t="s">
        <v>63</v>
      </c>
      <c r="AW17" s="12"/>
      <c r="AX17" s="12"/>
      <c r="AY17" s="12"/>
      <c r="AZ17" s="12"/>
      <c r="BA17" s="12"/>
      <c r="BB17" s="12"/>
      <c r="BC17" s="12"/>
      <c r="BF17" s="12"/>
      <c r="BG17" s="12"/>
      <c r="BH17" s="12"/>
      <c r="BI17" s="12"/>
      <c r="BJ17" s="12"/>
      <c r="BK17" s="12"/>
    </row>
    <row r="18" ht="20.25" customHeight="1">
      <c r="A18" s="80"/>
      <c r="B18" s="90"/>
      <c r="D18" s="91" t="s">
        <v>64</v>
      </c>
      <c r="E18" s="91" t="s">
        <v>64</v>
      </c>
      <c r="F18" s="91" t="s">
        <v>64</v>
      </c>
      <c r="G18" s="91" t="s">
        <v>64</v>
      </c>
      <c r="H18" s="91" t="s">
        <v>64</v>
      </c>
      <c r="I18" s="91" t="s">
        <v>64</v>
      </c>
      <c r="J18" s="91" t="s">
        <v>64</v>
      </c>
      <c r="K18" s="91" t="s">
        <v>64</v>
      </c>
      <c r="L18" s="91" t="s">
        <v>64</v>
      </c>
      <c r="M18" s="91" t="s">
        <v>64</v>
      </c>
      <c r="N18" s="91" t="s">
        <v>64</v>
      </c>
      <c r="O18" s="91" t="s">
        <v>64</v>
      </c>
      <c r="P18" s="91" t="s">
        <v>64</v>
      </c>
      <c r="Q18" s="91" t="s">
        <v>64</v>
      </c>
      <c r="R18" s="91" t="s">
        <v>64</v>
      </c>
      <c r="S18" s="91" t="s">
        <v>64</v>
      </c>
      <c r="T18" s="92"/>
      <c r="U18" s="92" t="s">
        <v>64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F18" s="12"/>
      <c r="BG18" s="12"/>
      <c r="BH18" s="12"/>
      <c r="BI18" s="12"/>
      <c r="BJ18" s="12"/>
      <c r="BK18" s="12"/>
    </row>
    <row r="19" ht="34.5" customHeight="1">
      <c r="A19" s="80"/>
      <c r="B19" s="90"/>
      <c r="C19" s="93">
        <v>30.0</v>
      </c>
      <c r="D19" s="93">
        <v>60.0</v>
      </c>
      <c r="E19" s="93">
        <v>60.0</v>
      </c>
      <c r="F19" s="93">
        <v>20.0</v>
      </c>
      <c r="G19" s="93">
        <v>50.0</v>
      </c>
      <c r="H19" s="94"/>
      <c r="I19" s="95"/>
      <c r="J19" s="96"/>
      <c r="K19" s="96"/>
      <c r="L19" s="97"/>
      <c r="M19" s="98"/>
      <c r="N19" s="99"/>
      <c r="O19" s="97"/>
      <c r="P19" s="100"/>
      <c r="Q19" s="100"/>
      <c r="R19" s="100"/>
      <c r="S19" s="100"/>
      <c r="T19" s="101"/>
      <c r="U19" s="101">
        <v>80.0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34"/>
      <c r="BB19" s="34"/>
      <c r="BC19" s="34"/>
      <c r="BD19" s="34"/>
      <c r="BE19" s="34"/>
    </row>
    <row r="20" ht="34.5" customHeight="1">
      <c r="A20" s="102">
        <v>1.0</v>
      </c>
      <c r="B20" s="103" t="str">
        <f>Prelim!B20</f>
        <v>AAAA</v>
      </c>
      <c r="C20" s="104">
        <v>15.0</v>
      </c>
      <c r="D20" s="105">
        <v>30.0</v>
      </c>
      <c r="E20" s="104">
        <v>30.0</v>
      </c>
      <c r="F20" s="106">
        <v>10.0</v>
      </c>
      <c r="G20" s="104">
        <v>25.0</v>
      </c>
      <c r="H20" s="106">
        <v>85.0</v>
      </c>
      <c r="I20" s="107">
        <v>85.0</v>
      </c>
      <c r="J20" s="106">
        <v>60.0</v>
      </c>
      <c r="K20" s="106"/>
      <c r="L20" s="108">
        <v>75.0</v>
      </c>
      <c r="M20" s="104">
        <v>50.0</v>
      </c>
      <c r="N20" s="109"/>
      <c r="O20" s="108"/>
      <c r="P20" s="110">
        <v>85.0</v>
      </c>
      <c r="Q20" s="110"/>
      <c r="R20" s="110"/>
      <c r="S20" s="110"/>
      <c r="T20" s="110">
        <v>90.0</v>
      </c>
      <c r="U20" s="110">
        <v>75.0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ht="34.5" customHeight="1">
      <c r="A21" s="102">
        <v>2.0</v>
      </c>
      <c r="B21" s="103" t="str">
        <f>Prelim!B21</f>
        <v>BBBBB</v>
      </c>
      <c r="C21" s="104"/>
      <c r="D21" s="105"/>
      <c r="E21" s="104"/>
      <c r="F21" s="106"/>
      <c r="G21" s="104"/>
      <c r="H21" s="106"/>
      <c r="I21" s="107"/>
      <c r="J21" s="106"/>
      <c r="K21" s="106"/>
      <c r="L21" s="108"/>
      <c r="M21" s="104"/>
      <c r="N21" s="109"/>
      <c r="O21" s="108"/>
      <c r="P21" s="110"/>
      <c r="Q21" s="110"/>
      <c r="R21" s="110"/>
      <c r="S21" s="110"/>
      <c r="T21" s="110"/>
      <c r="U21" s="110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12"/>
      <c r="BF21" s="112"/>
      <c r="BG21" s="112"/>
      <c r="BH21" s="112"/>
      <c r="BI21" s="112"/>
    </row>
    <row r="22" ht="34.5" customHeight="1">
      <c r="A22" s="102">
        <v>3.0</v>
      </c>
      <c r="B22" s="103" t="str">
        <f>Prelim!B22</f>
        <v>**** NONE FOLLOWS**</v>
      </c>
      <c r="C22" s="104"/>
      <c r="D22" s="105"/>
      <c r="E22" s="104"/>
      <c r="F22" s="106"/>
      <c r="G22" s="104"/>
      <c r="H22" s="106"/>
      <c r="I22" s="107"/>
      <c r="J22" s="106"/>
      <c r="K22" s="106"/>
      <c r="L22" s="108"/>
      <c r="M22" s="104"/>
      <c r="N22" s="109"/>
      <c r="O22" s="108"/>
      <c r="P22" s="110"/>
      <c r="Q22" s="110"/>
      <c r="R22" s="110"/>
      <c r="S22" s="110"/>
      <c r="T22" s="110"/>
      <c r="U22" s="110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12"/>
      <c r="BF22" s="112"/>
      <c r="BG22" s="112"/>
      <c r="BH22" s="112"/>
      <c r="BI22" s="112"/>
    </row>
    <row r="23" ht="34.5" customHeight="1">
      <c r="A23" s="102">
        <v>4.0</v>
      </c>
      <c r="B23" s="103" t="str">
        <f>Prelim!B23</f>
        <v/>
      </c>
      <c r="C23" s="104"/>
      <c r="D23" s="105"/>
      <c r="E23" s="104"/>
      <c r="F23" s="106"/>
      <c r="G23" s="104"/>
      <c r="H23" s="106"/>
      <c r="I23" s="107"/>
      <c r="J23" s="106"/>
      <c r="K23" s="106"/>
      <c r="L23" s="108"/>
      <c r="M23" s="104"/>
      <c r="N23" s="109"/>
      <c r="O23" s="108"/>
      <c r="P23" s="110"/>
      <c r="Q23" s="110"/>
      <c r="R23" s="110"/>
      <c r="S23" s="110"/>
      <c r="T23" s="110"/>
      <c r="U23" s="110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12"/>
      <c r="BF23" s="112"/>
      <c r="BG23" s="112"/>
      <c r="BH23" s="112"/>
      <c r="BI23" s="112"/>
    </row>
    <row r="24" ht="34.5" customHeight="1">
      <c r="A24" s="102">
        <v>5.0</v>
      </c>
      <c r="B24" s="103" t="str">
        <f>Prelim!B24</f>
        <v/>
      </c>
      <c r="C24" s="104"/>
      <c r="D24" s="105"/>
      <c r="E24" s="104"/>
      <c r="F24" s="106"/>
      <c r="G24" s="104"/>
      <c r="H24" s="106"/>
      <c r="I24" s="107"/>
      <c r="J24" s="106"/>
      <c r="K24" s="106"/>
      <c r="L24" s="108"/>
      <c r="M24" s="104"/>
      <c r="N24" s="109"/>
      <c r="O24" s="108"/>
      <c r="P24" s="110"/>
      <c r="Q24" s="110"/>
      <c r="R24" s="110"/>
      <c r="S24" s="110"/>
      <c r="T24" s="110"/>
      <c r="U24" s="110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BA24" s="112"/>
      <c r="BF24" s="112"/>
      <c r="BG24" s="112"/>
      <c r="BH24" s="112"/>
      <c r="BI24" s="112"/>
    </row>
    <row r="25" ht="34.5" customHeight="1">
      <c r="A25" s="102">
        <v>6.0</v>
      </c>
      <c r="B25" s="103" t="str">
        <f>Prelim!B25</f>
        <v/>
      </c>
      <c r="C25" s="104"/>
      <c r="D25" s="105"/>
      <c r="E25" s="104"/>
      <c r="F25" s="106"/>
      <c r="G25" s="104"/>
      <c r="H25" s="106"/>
      <c r="I25" s="107"/>
      <c r="J25" s="106"/>
      <c r="K25" s="106"/>
      <c r="L25" s="108"/>
      <c r="M25" s="104"/>
      <c r="N25" s="109"/>
      <c r="O25" s="108"/>
      <c r="P25" s="110"/>
      <c r="Q25" s="110"/>
      <c r="R25" s="110"/>
      <c r="S25" s="110"/>
      <c r="T25" s="110"/>
      <c r="U25" s="110"/>
      <c r="BA25" s="112"/>
      <c r="BF25" s="112"/>
      <c r="BG25" s="112"/>
      <c r="BH25" s="112"/>
      <c r="BI25" s="112"/>
    </row>
    <row r="26" ht="34.5" customHeight="1">
      <c r="A26" s="102">
        <v>7.0</v>
      </c>
      <c r="B26" s="103" t="str">
        <f>Prelim!B26</f>
        <v/>
      </c>
      <c r="C26" s="104"/>
      <c r="D26" s="105"/>
      <c r="E26" s="104"/>
      <c r="F26" s="106"/>
      <c r="G26" s="104"/>
      <c r="H26" s="106"/>
      <c r="I26" s="107"/>
      <c r="J26" s="106"/>
      <c r="K26" s="106"/>
      <c r="L26" s="108"/>
      <c r="M26" s="104"/>
      <c r="N26" s="109"/>
      <c r="O26" s="108"/>
      <c r="P26" s="110"/>
      <c r="Q26" s="110"/>
      <c r="R26" s="110"/>
      <c r="S26" s="110"/>
      <c r="T26" s="110"/>
      <c r="U26" s="110"/>
      <c r="AW26" s="112"/>
      <c r="AX26" s="112"/>
      <c r="BA26" s="112"/>
      <c r="BF26" s="112"/>
      <c r="BG26" s="112"/>
      <c r="BH26" s="112"/>
      <c r="BI26" s="112"/>
    </row>
    <row r="27" ht="34.5" customHeight="1">
      <c r="A27" s="102">
        <v>8.0</v>
      </c>
      <c r="B27" s="103" t="str">
        <f>Prelim!B27</f>
        <v/>
      </c>
      <c r="C27" s="104"/>
      <c r="D27" s="105"/>
      <c r="E27" s="104"/>
      <c r="F27" s="106"/>
      <c r="G27" s="104"/>
      <c r="H27" s="106"/>
      <c r="I27" s="107"/>
      <c r="J27" s="106"/>
      <c r="K27" s="106"/>
      <c r="L27" s="108"/>
      <c r="M27" s="104"/>
      <c r="N27" s="109"/>
      <c r="O27" s="108"/>
      <c r="P27" s="110"/>
      <c r="Q27" s="110"/>
      <c r="R27" s="110"/>
      <c r="S27" s="110"/>
      <c r="T27" s="110"/>
      <c r="U27" s="110"/>
      <c r="V27" s="112"/>
      <c r="W27" s="112"/>
      <c r="X27" s="112"/>
      <c r="Y27" s="112"/>
      <c r="Z27" s="112"/>
      <c r="AA27" s="112"/>
      <c r="AB27" s="112"/>
      <c r="AC27" s="112"/>
      <c r="AD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W27" s="112"/>
      <c r="AX27" s="112"/>
      <c r="BA27" s="112"/>
      <c r="BF27" s="112"/>
      <c r="BG27" s="112"/>
      <c r="BH27" s="112"/>
      <c r="BI27" s="112"/>
    </row>
    <row r="28" ht="34.5" customHeight="1">
      <c r="A28" s="102">
        <v>9.0</v>
      </c>
      <c r="B28" s="103" t="str">
        <f>Prelim!B28</f>
        <v/>
      </c>
      <c r="C28" s="104"/>
      <c r="D28" s="105"/>
      <c r="E28" s="104"/>
      <c r="F28" s="106"/>
      <c r="G28" s="104"/>
      <c r="H28" s="106"/>
      <c r="I28" s="107"/>
      <c r="J28" s="106"/>
      <c r="K28" s="106"/>
      <c r="L28" s="108"/>
      <c r="M28" s="104"/>
      <c r="N28" s="109"/>
      <c r="O28" s="108"/>
      <c r="P28" s="110"/>
      <c r="Q28" s="110"/>
      <c r="R28" s="110"/>
      <c r="S28" s="110"/>
      <c r="T28" s="110"/>
      <c r="U28" s="110"/>
      <c r="V28" s="112"/>
      <c r="W28" s="112"/>
      <c r="X28" s="112"/>
      <c r="Y28" s="112"/>
      <c r="Z28" s="112"/>
      <c r="AA28" s="112"/>
      <c r="AB28" s="112"/>
      <c r="AC28" s="112"/>
      <c r="AD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W28" s="112"/>
      <c r="AX28" s="112"/>
      <c r="BA28" s="112"/>
      <c r="BF28" s="112"/>
      <c r="BG28" s="112"/>
      <c r="BH28" s="112"/>
      <c r="BI28" s="112"/>
    </row>
    <row r="29" ht="34.5" customHeight="1">
      <c r="A29" s="102">
        <v>10.0</v>
      </c>
      <c r="B29" s="103" t="str">
        <f>Prelim!B29</f>
        <v/>
      </c>
      <c r="C29" s="104"/>
      <c r="D29" s="105"/>
      <c r="E29" s="104"/>
      <c r="F29" s="106"/>
      <c r="G29" s="104"/>
      <c r="H29" s="106"/>
      <c r="I29" s="107"/>
      <c r="J29" s="106"/>
      <c r="K29" s="106"/>
      <c r="L29" s="108"/>
      <c r="M29" s="104"/>
      <c r="N29" s="109"/>
      <c r="O29" s="108"/>
      <c r="P29" s="110"/>
      <c r="Q29" s="110"/>
      <c r="R29" s="110"/>
      <c r="S29" s="110"/>
      <c r="T29" s="110"/>
      <c r="U29" s="110"/>
      <c r="V29" s="112"/>
      <c r="W29" s="112"/>
      <c r="X29" s="112"/>
      <c r="Y29" s="112"/>
      <c r="Z29" s="112"/>
      <c r="AA29" s="112"/>
      <c r="AB29" s="112"/>
      <c r="AC29" s="112"/>
      <c r="AD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W29" s="112"/>
      <c r="AX29" s="112"/>
      <c r="BA29" s="112"/>
      <c r="BF29" s="112"/>
      <c r="BG29" s="112"/>
      <c r="BH29" s="112"/>
      <c r="BI29" s="112"/>
    </row>
    <row r="30" ht="34.5" customHeight="1">
      <c r="A30" s="102">
        <v>11.0</v>
      </c>
      <c r="B30" s="103" t="str">
        <f>Prelim!B30</f>
        <v/>
      </c>
      <c r="C30" s="104"/>
      <c r="D30" s="105"/>
      <c r="E30" s="104"/>
      <c r="F30" s="106"/>
      <c r="G30" s="104"/>
      <c r="H30" s="106"/>
      <c r="I30" s="107"/>
      <c r="J30" s="106"/>
      <c r="K30" s="106"/>
      <c r="L30" s="108"/>
      <c r="M30" s="104"/>
      <c r="N30" s="109"/>
      <c r="O30" s="108"/>
      <c r="P30" s="110"/>
      <c r="Q30" s="110"/>
      <c r="R30" s="110"/>
      <c r="S30" s="110"/>
      <c r="T30" s="110"/>
      <c r="U30" s="110"/>
      <c r="V30" s="112"/>
      <c r="W30" s="112"/>
      <c r="X30" s="112"/>
      <c r="Y30" s="112"/>
      <c r="Z30" s="112"/>
      <c r="AA30" s="112"/>
      <c r="AB30" s="112"/>
      <c r="AC30" s="112"/>
      <c r="AD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W30" s="112"/>
      <c r="AX30" s="112"/>
      <c r="BA30" s="112"/>
      <c r="BF30" s="112"/>
      <c r="BG30" s="112"/>
      <c r="BH30" s="112"/>
      <c r="BI30" s="112"/>
    </row>
    <row r="31" ht="34.5" customHeight="1">
      <c r="A31" s="102">
        <v>12.0</v>
      </c>
      <c r="B31" s="103" t="str">
        <f>Prelim!B31</f>
        <v/>
      </c>
      <c r="C31" s="104"/>
      <c r="D31" s="105"/>
      <c r="E31" s="104"/>
      <c r="F31" s="106"/>
      <c r="G31" s="104"/>
      <c r="H31" s="106"/>
      <c r="I31" s="107"/>
      <c r="J31" s="106"/>
      <c r="K31" s="106"/>
      <c r="L31" s="108"/>
      <c r="M31" s="104"/>
      <c r="N31" s="109"/>
      <c r="O31" s="108"/>
      <c r="P31" s="110"/>
      <c r="Q31" s="110"/>
      <c r="R31" s="110"/>
      <c r="S31" s="110"/>
      <c r="T31" s="110"/>
      <c r="U31" s="110"/>
      <c r="V31" s="112"/>
      <c r="W31" s="112"/>
      <c r="X31" s="112"/>
      <c r="Y31" s="112"/>
      <c r="Z31" s="112"/>
      <c r="AA31" s="112"/>
      <c r="AB31" s="112"/>
      <c r="AC31" s="112"/>
      <c r="AD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W31" s="112"/>
      <c r="AX31" s="112"/>
      <c r="BA31" s="112"/>
      <c r="BF31" s="112"/>
      <c r="BG31" s="112"/>
      <c r="BH31" s="112"/>
      <c r="BI31" s="112"/>
    </row>
    <row r="32" ht="34.5" customHeight="1">
      <c r="A32" s="102">
        <v>13.0</v>
      </c>
      <c r="B32" s="103" t="str">
        <f>Prelim!B32</f>
        <v/>
      </c>
      <c r="C32" s="104"/>
      <c r="D32" s="105"/>
      <c r="E32" s="104"/>
      <c r="F32" s="106"/>
      <c r="G32" s="104"/>
      <c r="H32" s="106"/>
      <c r="I32" s="107"/>
      <c r="J32" s="106"/>
      <c r="K32" s="106"/>
      <c r="L32" s="108"/>
      <c r="M32" s="104"/>
      <c r="N32" s="109"/>
      <c r="O32" s="108"/>
      <c r="P32" s="110"/>
      <c r="Q32" s="110"/>
      <c r="R32" s="110"/>
      <c r="S32" s="110"/>
      <c r="T32" s="110"/>
      <c r="U32" s="110"/>
      <c r="V32" s="112"/>
      <c r="W32" s="112"/>
      <c r="X32" s="112"/>
      <c r="Y32" s="112"/>
      <c r="Z32" s="112"/>
      <c r="AA32" s="112"/>
      <c r="AB32" s="112"/>
      <c r="AC32" s="112"/>
      <c r="AD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W32" s="112"/>
      <c r="AX32" s="112"/>
      <c r="BA32" s="112"/>
      <c r="BF32" s="112"/>
      <c r="BG32" s="112"/>
      <c r="BH32" s="112"/>
      <c r="BI32" s="112"/>
    </row>
    <row r="33" ht="34.5" customHeight="1">
      <c r="A33" s="102">
        <v>14.0</v>
      </c>
      <c r="B33" s="103" t="str">
        <f>Prelim!B33</f>
        <v/>
      </c>
      <c r="C33" s="104"/>
      <c r="D33" s="105"/>
      <c r="E33" s="104"/>
      <c r="F33" s="106"/>
      <c r="G33" s="104"/>
      <c r="H33" s="106"/>
      <c r="I33" s="107"/>
      <c r="J33" s="106"/>
      <c r="K33" s="106"/>
      <c r="L33" s="108"/>
      <c r="M33" s="104"/>
      <c r="N33" s="109"/>
      <c r="O33" s="108"/>
      <c r="P33" s="110"/>
      <c r="Q33" s="110"/>
      <c r="R33" s="110"/>
      <c r="S33" s="110"/>
      <c r="T33" s="110"/>
      <c r="U33" s="110"/>
      <c r="V33" s="112"/>
      <c r="W33" s="112"/>
      <c r="X33" s="112"/>
      <c r="Y33" s="112"/>
      <c r="Z33" s="112"/>
      <c r="AA33" s="112"/>
      <c r="AB33" s="112"/>
      <c r="AC33" s="112"/>
      <c r="AD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W33" s="112"/>
      <c r="AX33" s="112"/>
      <c r="BA33" s="112"/>
      <c r="BF33" s="112"/>
      <c r="BG33" s="112"/>
      <c r="BH33" s="112"/>
      <c r="BI33" s="112"/>
    </row>
    <row r="34" ht="34.5" customHeight="1">
      <c r="A34" s="102">
        <v>15.0</v>
      </c>
      <c r="B34" s="103" t="str">
        <f>Prelim!B34</f>
        <v/>
      </c>
      <c r="C34" s="104"/>
      <c r="D34" s="105"/>
      <c r="E34" s="104"/>
      <c r="F34" s="106"/>
      <c r="G34" s="104"/>
      <c r="H34" s="106"/>
      <c r="I34" s="107"/>
      <c r="J34" s="106"/>
      <c r="K34" s="106"/>
      <c r="L34" s="108"/>
      <c r="M34" s="104"/>
      <c r="N34" s="109"/>
      <c r="O34" s="108"/>
      <c r="P34" s="110"/>
      <c r="Q34" s="110"/>
      <c r="R34" s="110"/>
      <c r="S34" s="110"/>
      <c r="T34" s="110"/>
      <c r="U34" s="110"/>
      <c r="V34" s="112"/>
      <c r="W34" s="112"/>
      <c r="X34" s="112"/>
      <c r="Y34" s="112"/>
      <c r="Z34" s="112"/>
      <c r="AA34" s="112"/>
      <c r="AB34" s="112"/>
      <c r="AC34" s="112"/>
      <c r="AD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W34" s="112"/>
      <c r="AX34" s="112"/>
      <c r="BA34" s="112"/>
      <c r="BF34" s="112"/>
      <c r="BG34" s="112"/>
      <c r="BH34" s="112"/>
      <c r="BI34" s="112"/>
    </row>
    <row r="35" ht="34.5" customHeight="1">
      <c r="A35" s="102">
        <v>16.0</v>
      </c>
      <c r="B35" s="103" t="str">
        <f>Prelim!B35</f>
        <v/>
      </c>
      <c r="C35" s="104"/>
      <c r="D35" s="105"/>
      <c r="E35" s="104"/>
      <c r="F35" s="106"/>
      <c r="G35" s="104"/>
      <c r="H35" s="106"/>
      <c r="I35" s="107"/>
      <c r="J35" s="106"/>
      <c r="K35" s="106"/>
      <c r="L35" s="108"/>
      <c r="M35" s="104"/>
      <c r="N35" s="109"/>
      <c r="O35" s="108"/>
      <c r="P35" s="110"/>
      <c r="Q35" s="110"/>
      <c r="R35" s="110"/>
      <c r="S35" s="110"/>
      <c r="T35" s="110"/>
      <c r="U35" s="110"/>
      <c r="V35" s="112"/>
      <c r="W35" s="112"/>
      <c r="X35" s="112"/>
      <c r="Y35" s="112"/>
      <c r="Z35" s="112"/>
      <c r="AA35" s="112"/>
      <c r="AB35" s="112"/>
      <c r="AC35" s="112"/>
      <c r="AD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W35" s="112"/>
      <c r="AX35" s="112"/>
      <c r="BA35" s="112"/>
      <c r="BF35" s="112"/>
      <c r="BG35" s="112"/>
      <c r="BH35" s="112"/>
      <c r="BI35" s="112"/>
    </row>
    <row r="36" ht="34.5" customHeight="1">
      <c r="A36" s="102">
        <v>17.0</v>
      </c>
      <c r="B36" s="103" t="str">
        <f>Prelim!B36</f>
        <v/>
      </c>
      <c r="C36" s="104"/>
      <c r="D36" s="105"/>
      <c r="E36" s="104"/>
      <c r="F36" s="106"/>
      <c r="G36" s="104"/>
      <c r="H36" s="106"/>
      <c r="I36" s="107"/>
      <c r="J36" s="106"/>
      <c r="K36" s="106"/>
      <c r="L36" s="108"/>
      <c r="M36" s="104"/>
      <c r="N36" s="109"/>
      <c r="O36" s="108"/>
      <c r="P36" s="110"/>
      <c r="Q36" s="110"/>
      <c r="R36" s="110"/>
      <c r="S36" s="110"/>
      <c r="T36" s="110"/>
      <c r="U36" s="110"/>
      <c r="V36" s="112"/>
      <c r="W36" s="112"/>
      <c r="X36" s="112"/>
      <c r="Y36" s="112"/>
      <c r="Z36" s="112"/>
      <c r="AA36" s="112"/>
      <c r="AB36" s="112"/>
      <c r="AC36" s="112"/>
      <c r="AD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W36" s="112"/>
      <c r="AX36" s="112"/>
      <c r="BA36" s="112"/>
      <c r="BF36" s="112"/>
      <c r="BG36" s="112"/>
      <c r="BH36" s="112"/>
      <c r="BI36" s="112"/>
    </row>
    <row r="37" ht="34.5" customHeight="1">
      <c r="A37" s="102">
        <v>18.0</v>
      </c>
      <c r="B37" s="103" t="str">
        <f>Prelim!B37</f>
        <v/>
      </c>
      <c r="C37" s="104"/>
      <c r="D37" s="105"/>
      <c r="E37" s="104"/>
      <c r="F37" s="106"/>
      <c r="G37" s="104"/>
      <c r="H37" s="106"/>
      <c r="I37" s="107"/>
      <c r="J37" s="106"/>
      <c r="K37" s="106"/>
      <c r="L37" s="108"/>
      <c r="M37" s="104"/>
      <c r="N37" s="109"/>
      <c r="O37" s="108"/>
      <c r="P37" s="110"/>
      <c r="Q37" s="110"/>
      <c r="R37" s="110"/>
      <c r="S37" s="110"/>
      <c r="T37" s="110"/>
      <c r="U37" s="110"/>
      <c r="V37" s="112"/>
      <c r="W37" s="112"/>
      <c r="X37" s="112"/>
      <c r="Y37" s="112"/>
      <c r="Z37" s="112"/>
      <c r="AA37" s="112"/>
      <c r="AB37" s="112"/>
      <c r="AC37" s="112"/>
      <c r="AD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W37" s="112"/>
      <c r="AX37" s="112"/>
      <c r="BA37" s="112"/>
      <c r="BF37" s="112"/>
      <c r="BG37" s="112"/>
      <c r="BH37" s="112"/>
      <c r="BI37" s="112"/>
    </row>
    <row r="38" ht="34.5" customHeight="1">
      <c r="A38" s="102">
        <v>19.0</v>
      </c>
      <c r="B38" s="103" t="str">
        <f>Prelim!B38</f>
        <v/>
      </c>
      <c r="C38" s="104"/>
      <c r="D38" s="105"/>
      <c r="E38" s="104"/>
      <c r="F38" s="106"/>
      <c r="G38" s="104"/>
      <c r="H38" s="106"/>
      <c r="I38" s="107"/>
      <c r="J38" s="106"/>
      <c r="K38" s="106"/>
      <c r="L38" s="108"/>
      <c r="M38" s="104"/>
      <c r="N38" s="109"/>
      <c r="O38" s="108"/>
      <c r="P38" s="110"/>
      <c r="Q38" s="110"/>
      <c r="R38" s="110"/>
      <c r="S38" s="110"/>
      <c r="T38" s="110"/>
      <c r="U38" s="110"/>
      <c r="V38" s="112"/>
      <c r="W38" s="112"/>
      <c r="X38" s="112"/>
      <c r="Y38" s="112"/>
      <c r="Z38" s="112"/>
      <c r="AA38" s="112"/>
      <c r="AB38" s="112"/>
      <c r="AC38" s="112"/>
      <c r="AD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W38" s="112"/>
      <c r="AX38" s="112"/>
      <c r="BA38" s="112"/>
      <c r="BF38" s="112"/>
      <c r="BG38" s="112"/>
      <c r="BH38" s="112"/>
      <c r="BI38" s="112"/>
    </row>
    <row r="39" ht="34.5" customHeight="1">
      <c r="A39" s="102">
        <v>20.0</v>
      </c>
      <c r="B39" s="103" t="str">
        <f>Prelim!B39</f>
        <v/>
      </c>
      <c r="C39" s="104"/>
      <c r="D39" s="105"/>
      <c r="E39" s="104"/>
      <c r="F39" s="106"/>
      <c r="G39" s="104"/>
      <c r="H39" s="106"/>
      <c r="I39" s="107"/>
      <c r="J39" s="106"/>
      <c r="K39" s="106"/>
      <c r="L39" s="108"/>
      <c r="M39" s="104"/>
      <c r="N39" s="109"/>
      <c r="O39" s="108"/>
      <c r="P39" s="110"/>
      <c r="Q39" s="110"/>
      <c r="R39" s="110"/>
      <c r="S39" s="110"/>
      <c r="T39" s="110"/>
      <c r="U39" s="110"/>
      <c r="V39" s="112"/>
      <c r="W39" s="112"/>
      <c r="X39" s="112"/>
      <c r="Y39" s="112"/>
      <c r="Z39" s="112"/>
      <c r="AA39" s="112"/>
      <c r="AB39" s="112"/>
      <c r="AC39" s="112"/>
      <c r="AD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W39" s="112"/>
      <c r="AX39" s="112"/>
      <c r="BA39" s="112"/>
      <c r="BF39" s="112"/>
      <c r="BG39" s="112"/>
      <c r="BH39" s="112"/>
      <c r="BI39" s="112"/>
    </row>
    <row r="40" ht="34.5" customHeight="1">
      <c r="A40" s="102">
        <v>21.0</v>
      </c>
      <c r="B40" s="103" t="str">
        <f>Prelim!B40</f>
        <v/>
      </c>
      <c r="C40" s="104"/>
      <c r="D40" s="105"/>
      <c r="E40" s="104"/>
      <c r="F40" s="106"/>
      <c r="G40" s="104"/>
      <c r="H40" s="106"/>
      <c r="I40" s="107"/>
      <c r="J40" s="106"/>
      <c r="K40" s="106"/>
      <c r="L40" s="108"/>
      <c r="M40" s="104"/>
      <c r="N40" s="109"/>
      <c r="O40" s="108"/>
      <c r="P40" s="110"/>
      <c r="Q40" s="110"/>
      <c r="R40" s="110"/>
      <c r="S40" s="110"/>
      <c r="T40" s="110"/>
      <c r="U40" s="110"/>
      <c r="V40" s="112"/>
      <c r="W40" s="112"/>
      <c r="X40" s="112"/>
      <c r="Y40" s="112"/>
      <c r="Z40" s="112"/>
      <c r="AA40" s="112"/>
      <c r="AB40" s="112"/>
      <c r="AC40" s="112"/>
      <c r="AD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W40" s="112"/>
      <c r="AX40" s="112"/>
      <c r="BA40" s="112"/>
      <c r="BF40" s="112"/>
      <c r="BG40" s="112"/>
      <c r="BH40" s="112"/>
      <c r="BI40" s="112"/>
    </row>
    <row r="41" ht="34.5" customHeight="1">
      <c r="A41" s="102">
        <v>22.0</v>
      </c>
      <c r="B41" s="103" t="str">
        <f>Prelim!B41</f>
        <v/>
      </c>
      <c r="C41" s="104"/>
      <c r="D41" s="105"/>
      <c r="E41" s="104"/>
      <c r="F41" s="106"/>
      <c r="G41" s="104"/>
      <c r="H41" s="106"/>
      <c r="I41" s="107"/>
      <c r="J41" s="106"/>
      <c r="K41" s="106"/>
      <c r="L41" s="108"/>
      <c r="M41" s="104"/>
      <c r="N41" s="109"/>
      <c r="O41" s="108"/>
      <c r="P41" s="110"/>
      <c r="Q41" s="110"/>
      <c r="R41" s="110"/>
      <c r="S41" s="110"/>
      <c r="T41" s="110"/>
      <c r="U41" s="110"/>
      <c r="V41" s="112"/>
      <c r="W41" s="112"/>
      <c r="X41" s="112"/>
      <c r="Y41" s="112"/>
      <c r="Z41" s="112"/>
      <c r="AA41" s="112"/>
      <c r="AB41" s="112"/>
      <c r="AC41" s="112"/>
      <c r="AD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W41" s="112"/>
      <c r="AX41" s="112"/>
      <c r="BA41" s="112"/>
      <c r="BF41" s="112"/>
      <c r="BG41" s="112"/>
      <c r="BH41" s="112"/>
      <c r="BI41" s="112"/>
    </row>
    <row r="42" ht="34.5" customHeight="1">
      <c r="A42" s="102">
        <v>23.0</v>
      </c>
      <c r="B42" s="103" t="str">
        <f>Prelim!B42</f>
        <v/>
      </c>
      <c r="C42" s="104"/>
      <c r="D42" s="105"/>
      <c r="E42" s="104"/>
      <c r="F42" s="106"/>
      <c r="G42" s="104"/>
      <c r="H42" s="106"/>
      <c r="I42" s="107"/>
      <c r="J42" s="106"/>
      <c r="K42" s="106"/>
      <c r="L42" s="108"/>
      <c r="M42" s="104"/>
      <c r="N42" s="109"/>
      <c r="O42" s="108"/>
      <c r="P42" s="110"/>
      <c r="Q42" s="110"/>
      <c r="R42" s="110"/>
      <c r="S42" s="110"/>
      <c r="T42" s="110"/>
      <c r="U42" s="110"/>
      <c r="V42" s="112"/>
      <c r="W42" s="112"/>
      <c r="X42" s="112"/>
      <c r="Y42" s="112"/>
      <c r="Z42" s="112"/>
      <c r="AA42" s="112"/>
      <c r="AB42" s="112"/>
      <c r="AC42" s="112"/>
      <c r="AD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W42" s="112"/>
      <c r="AX42" s="112"/>
      <c r="BA42" s="112"/>
      <c r="BF42" s="112"/>
      <c r="BG42" s="112"/>
      <c r="BH42" s="112"/>
      <c r="BI42" s="112"/>
    </row>
    <row r="43" ht="34.5" customHeight="1">
      <c r="A43" s="102">
        <v>24.0</v>
      </c>
      <c r="B43" s="103" t="str">
        <f>Prelim!B43</f>
        <v/>
      </c>
      <c r="C43" s="104"/>
      <c r="D43" s="105"/>
      <c r="E43" s="104"/>
      <c r="F43" s="106"/>
      <c r="G43" s="104"/>
      <c r="H43" s="106"/>
      <c r="I43" s="107"/>
      <c r="J43" s="106"/>
      <c r="K43" s="106"/>
      <c r="L43" s="108"/>
      <c r="M43" s="104"/>
      <c r="N43" s="109"/>
      <c r="O43" s="108"/>
      <c r="P43" s="110"/>
      <c r="Q43" s="110"/>
      <c r="R43" s="110"/>
      <c r="S43" s="110"/>
      <c r="T43" s="110"/>
      <c r="U43" s="110"/>
      <c r="V43" s="112"/>
      <c r="W43" s="112"/>
      <c r="X43" s="112"/>
      <c r="Y43" s="112"/>
      <c r="Z43" s="112"/>
      <c r="AA43" s="112"/>
      <c r="AB43" s="112"/>
      <c r="AC43" s="112"/>
      <c r="AD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W43" s="112"/>
      <c r="AX43" s="112"/>
      <c r="BA43" s="112"/>
      <c r="BF43" s="112"/>
      <c r="BG43" s="112"/>
      <c r="BH43" s="112"/>
      <c r="BI43" s="112"/>
    </row>
    <row r="44" ht="34.5" customHeight="1">
      <c r="A44" s="102">
        <v>25.0</v>
      </c>
      <c r="B44" s="103" t="str">
        <f>Prelim!B44</f>
        <v/>
      </c>
      <c r="C44" s="104"/>
      <c r="D44" s="105"/>
      <c r="E44" s="104"/>
      <c r="F44" s="106"/>
      <c r="G44" s="104"/>
      <c r="H44" s="106"/>
      <c r="I44" s="107"/>
      <c r="J44" s="106"/>
      <c r="K44" s="106"/>
      <c r="L44" s="108"/>
      <c r="M44" s="104"/>
      <c r="N44" s="109"/>
      <c r="O44" s="108"/>
      <c r="P44" s="110"/>
      <c r="Q44" s="110"/>
      <c r="R44" s="110"/>
      <c r="S44" s="110"/>
      <c r="T44" s="110"/>
      <c r="U44" s="110"/>
      <c r="V44" s="112"/>
      <c r="W44" s="112"/>
      <c r="X44" s="112"/>
      <c r="Y44" s="112"/>
      <c r="Z44" s="112"/>
      <c r="AA44" s="112"/>
      <c r="AB44" s="112"/>
      <c r="AC44" s="112"/>
      <c r="AD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W44" s="112"/>
      <c r="AX44" s="112"/>
      <c r="BA44" s="112"/>
      <c r="BF44" s="112"/>
      <c r="BG44" s="112"/>
      <c r="BH44" s="112"/>
      <c r="BI44" s="112"/>
    </row>
    <row r="45" ht="34.5" customHeight="1">
      <c r="A45" s="102">
        <v>26.0</v>
      </c>
      <c r="B45" s="103" t="str">
        <f>Prelim!B45</f>
        <v/>
      </c>
      <c r="C45" s="104"/>
      <c r="D45" s="105"/>
      <c r="E45" s="104"/>
      <c r="F45" s="106"/>
      <c r="G45" s="104"/>
      <c r="H45" s="106"/>
      <c r="I45" s="107"/>
      <c r="J45" s="106"/>
      <c r="K45" s="106"/>
      <c r="L45" s="108"/>
      <c r="M45" s="104"/>
      <c r="N45" s="109"/>
      <c r="O45" s="108"/>
      <c r="P45" s="110"/>
      <c r="Q45" s="110"/>
      <c r="R45" s="110"/>
      <c r="S45" s="110"/>
      <c r="T45" s="110"/>
      <c r="U45" s="110"/>
      <c r="V45" s="112"/>
      <c r="W45" s="112"/>
      <c r="X45" s="112"/>
      <c r="Y45" s="112"/>
      <c r="Z45" s="112"/>
      <c r="AA45" s="112"/>
      <c r="AB45" s="112"/>
      <c r="AC45" s="112"/>
      <c r="AD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W45" s="112"/>
      <c r="AX45" s="112"/>
      <c r="BA45" s="112"/>
      <c r="BF45" s="112"/>
      <c r="BG45" s="112"/>
      <c r="BH45" s="112"/>
      <c r="BI45" s="112"/>
    </row>
    <row r="46" ht="34.5" customHeight="1">
      <c r="A46" s="102">
        <v>27.0</v>
      </c>
      <c r="B46" s="103" t="str">
        <f>Prelim!B46</f>
        <v/>
      </c>
      <c r="C46" s="104"/>
      <c r="D46" s="105"/>
      <c r="E46" s="104"/>
      <c r="F46" s="106"/>
      <c r="G46" s="104"/>
      <c r="H46" s="106"/>
      <c r="I46" s="107"/>
      <c r="J46" s="106"/>
      <c r="K46" s="106"/>
      <c r="L46" s="108"/>
      <c r="M46" s="104"/>
      <c r="N46" s="109"/>
      <c r="O46" s="108"/>
      <c r="P46" s="110"/>
      <c r="Q46" s="110"/>
      <c r="R46" s="110"/>
      <c r="S46" s="110"/>
      <c r="T46" s="110"/>
      <c r="U46" s="110"/>
      <c r="V46" s="112"/>
      <c r="W46" s="112"/>
      <c r="X46" s="112"/>
      <c r="Y46" s="112"/>
      <c r="Z46" s="112"/>
      <c r="AA46" s="112"/>
      <c r="AB46" s="112"/>
      <c r="AC46" s="112"/>
      <c r="AD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W46" s="112"/>
      <c r="AX46" s="112"/>
      <c r="BA46" s="112"/>
      <c r="BF46" s="112"/>
      <c r="BG46" s="112"/>
      <c r="BH46" s="112"/>
      <c r="BI46" s="112"/>
    </row>
    <row r="47" ht="34.5" customHeight="1">
      <c r="A47" s="102">
        <v>28.0</v>
      </c>
      <c r="B47" s="103" t="str">
        <f>Prelim!B47</f>
        <v/>
      </c>
      <c r="C47" s="104"/>
      <c r="D47" s="105"/>
      <c r="E47" s="104"/>
      <c r="F47" s="106"/>
      <c r="G47" s="104"/>
      <c r="H47" s="106"/>
      <c r="I47" s="107"/>
      <c r="J47" s="106"/>
      <c r="K47" s="106"/>
      <c r="L47" s="108"/>
      <c r="M47" s="104"/>
      <c r="N47" s="109"/>
      <c r="O47" s="108"/>
      <c r="P47" s="110"/>
      <c r="Q47" s="110"/>
      <c r="R47" s="110"/>
      <c r="S47" s="110"/>
      <c r="T47" s="110"/>
      <c r="U47" s="110"/>
      <c r="V47" s="112"/>
      <c r="W47" s="112"/>
      <c r="X47" s="112"/>
      <c r="Y47" s="112"/>
      <c r="Z47" s="112"/>
      <c r="AA47" s="112"/>
      <c r="AB47" s="112"/>
      <c r="AC47" s="112"/>
      <c r="AD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W47" s="112"/>
      <c r="AX47" s="112"/>
      <c r="BA47" s="112"/>
      <c r="BF47" s="112"/>
      <c r="BG47" s="112"/>
      <c r="BH47" s="112"/>
      <c r="BI47" s="112"/>
    </row>
    <row r="48" ht="34.5" customHeight="1">
      <c r="A48" s="102">
        <v>29.0</v>
      </c>
      <c r="B48" s="103" t="str">
        <f>Prelim!B48</f>
        <v/>
      </c>
      <c r="C48" s="104"/>
      <c r="D48" s="105"/>
      <c r="E48" s="104"/>
      <c r="F48" s="106"/>
      <c r="G48" s="104"/>
      <c r="H48" s="106"/>
      <c r="I48" s="107"/>
      <c r="J48" s="106"/>
      <c r="K48" s="106"/>
      <c r="L48" s="108"/>
      <c r="M48" s="104"/>
      <c r="N48" s="109"/>
      <c r="O48" s="108"/>
      <c r="P48" s="110"/>
      <c r="Q48" s="110"/>
      <c r="R48" s="110"/>
      <c r="S48" s="110"/>
      <c r="T48" s="110"/>
      <c r="U48" s="110"/>
      <c r="V48" s="112"/>
      <c r="W48" s="112"/>
      <c r="X48" s="112"/>
      <c r="Y48" s="112"/>
      <c r="Z48" s="112"/>
      <c r="AA48" s="112"/>
      <c r="AB48" s="112"/>
      <c r="AC48" s="112"/>
      <c r="AD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W48" s="112"/>
      <c r="AX48" s="112"/>
      <c r="BA48" s="112"/>
      <c r="BF48" s="112"/>
      <c r="BG48" s="112"/>
      <c r="BH48" s="112"/>
      <c r="BI48" s="112"/>
    </row>
    <row r="49" ht="34.5" customHeight="1">
      <c r="A49" s="102">
        <v>30.0</v>
      </c>
      <c r="B49" s="103" t="str">
        <f>Prelim!B49</f>
        <v/>
      </c>
      <c r="C49" s="104"/>
      <c r="D49" s="105"/>
      <c r="E49" s="104"/>
      <c r="F49" s="106"/>
      <c r="G49" s="104"/>
      <c r="H49" s="106"/>
      <c r="I49" s="107"/>
      <c r="J49" s="106"/>
      <c r="K49" s="106"/>
      <c r="L49" s="108"/>
      <c r="M49" s="104"/>
      <c r="N49" s="109"/>
      <c r="O49" s="108"/>
      <c r="P49" s="110"/>
      <c r="Q49" s="110"/>
      <c r="R49" s="110"/>
      <c r="S49" s="110"/>
      <c r="T49" s="110"/>
      <c r="U49" s="110"/>
      <c r="V49" s="112"/>
      <c r="W49" s="112"/>
      <c r="X49" s="112"/>
      <c r="Y49" s="112"/>
      <c r="Z49" s="112"/>
      <c r="AA49" s="112"/>
      <c r="AB49" s="112"/>
      <c r="AC49" s="112"/>
      <c r="AD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W49" s="112"/>
      <c r="AX49" s="112"/>
      <c r="BA49" s="112"/>
      <c r="BF49" s="112"/>
      <c r="BG49" s="112"/>
      <c r="BH49" s="112"/>
      <c r="BI49" s="112"/>
    </row>
    <row r="50" ht="34.5" customHeight="1">
      <c r="A50" s="102">
        <v>31.0</v>
      </c>
      <c r="B50" s="103" t="str">
        <f>Prelim!B50</f>
        <v/>
      </c>
      <c r="C50" s="104"/>
      <c r="D50" s="105"/>
      <c r="E50" s="104"/>
      <c r="F50" s="106"/>
      <c r="G50" s="104"/>
      <c r="H50" s="106"/>
      <c r="I50" s="107"/>
      <c r="J50" s="106"/>
      <c r="K50" s="106"/>
      <c r="L50" s="108"/>
      <c r="M50" s="104"/>
      <c r="N50" s="109"/>
      <c r="O50" s="108"/>
      <c r="P50" s="110"/>
      <c r="Q50" s="110"/>
      <c r="R50" s="110"/>
      <c r="S50" s="110"/>
      <c r="T50" s="110"/>
      <c r="U50" s="110"/>
      <c r="V50" s="112"/>
      <c r="W50" s="112"/>
      <c r="X50" s="112"/>
      <c r="Y50" s="112"/>
      <c r="Z50" s="112"/>
      <c r="AA50" s="112"/>
      <c r="AB50" s="112"/>
      <c r="AC50" s="112"/>
      <c r="AD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W50" s="112"/>
      <c r="AX50" s="112"/>
      <c r="BA50" s="112"/>
      <c r="BF50" s="112"/>
      <c r="BG50" s="112"/>
      <c r="BH50" s="112"/>
      <c r="BI50" s="112"/>
    </row>
    <row r="51" ht="34.5" customHeight="1">
      <c r="A51" s="102">
        <v>32.0</v>
      </c>
      <c r="B51" s="103" t="str">
        <f>Prelim!B51</f>
        <v/>
      </c>
      <c r="C51" s="104"/>
      <c r="D51" s="105"/>
      <c r="E51" s="104"/>
      <c r="F51" s="106"/>
      <c r="G51" s="104"/>
      <c r="H51" s="106"/>
      <c r="I51" s="107"/>
      <c r="J51" s="106"/>
      <c r="K51" s="106"/>
      <c r="L51" s="108"/>
      <c r="M51" s="104"/>
      <c r="N51" s="109"/>
      <c r="O51" s="108"/>
      <c r="P51" s="110"/>
      <c r="Q51" s="110"/>
      <c r="R51" s="110"/>
      <c r="S51" s="110"/>
      <c r="T51" s="110"/>
      <c r="U51" s="110"/>
      <c r="V51" s="112"/>
      <c r="W51" s="112"/>
      <c r="X51" s="112"/>
      <c r="Y51" s="112"/>
      <c r="Z51" s="112"/>
      <c r="AA51" s="112"/>
      <c r="AB51" s="112"/>
      <c r="AC51" s="112"/>
      <c r="AD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W51" s="112"/>
      <c r="AX51" s="112"/>
      <c r="BA51" s="112"/>
      <c r="BF51" s="112"/>
      <c r="BG51" s="112"/>
      <c r="BH51" s="112"/>
      <c r="BI51" s="112"/>
    </row>
    <row r="52" ht="34.5" customHeight="1">
      <c r="A52" s="102">
        <v>33.0</v>
      </c>
      <c r="B52" s="103" t="str">
        <f>Prelim!B52</f>
        <v/>
      </c>
      <c r="C52" s="104"/>
      <c r="D52" s="105"/>
      <c r="E52" s="104"/>
      <c r="F52" s="106"/>
      <c r="G52" s="104"/>
      <c r="H52" s="106"/>
      <c r="I52" s="107"/>
      <c r="J52" s="106"/>
      <c r="K52" s="106"/>
      <c r="L52" s="108"/>
      <c r="M52" s="104"/>
      <c r="N52" s="109"/>
      <c r="O52" s="108"/>
      <c r="P52" s="110"/>
      <c r="Q52" s="110"/>
      <c r="R52" s="110"/>
      <c r="S52" s="110"/>
      <c r="T52" s="110"/>
      <c r="U52" s="110"/>
      <c r="V52" s="112"/>
      <c r="W52" s="112"/>
      <c r="X52" s="112"/>
      <c r="Y52" s="112"/>
      <c r="Z52" s="112"/>
      <c r="AA52" s="112"/>
      <c r="AB52" s="112"/>
      <c r="AC52" s="112"/>
      <c r="AD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W52" s="112"/>
      <c r="AX52" s="112"/>
      <c r="BA52" s="112"/>
      <c r="BF52" s="112"/>
      <c r="BG52" s="112"/>
      <c r="BH52" s="112"/>
      <c r="BI52" s="112"/>
    </row>
    <row r="53" ht="34.5" customHeight="1">
      <c r="A53" s="102">
        <v>34.0</v>
      </c>
      <c r="B53" s="103" t="str">
        <f>Prelim!B53</f>
        <v/>
      </c>
      <c r="C53" s="104"/>
      <c r="D53" s="105"/>
      <c r="E53" s="104"/>
      <c r="F53" s="106"/>
      <c r="G53" s="104"/>
      <c r="H53" s="106"/>
      <c r="I53" s="107"/>
      <c r="J53" s="106"/>
      <c r="K53" s="106"/>
      <c r="L53" s="108"/>
      <c r="M53" s="104"/>
      <c r="N53" s="109"/>
      <c r="O53" s="108"/>
      <c r="P53" s="110"/>
      <c r="Q53" s="110"/>
      <c r="R53" s="110"/>
      <c r="S53" s="110"/>
      <c r="T53" s="110"/>
      <c r="U53" s="110"/>
      <c r="V53" s="112"/>
      <c r="W53" s="112"/>
      <c r="X53" s="112"/>
      <c r="Y53" s="112"/>
      <c r="Z53" s="112"/>
      <c r="AA53" s="112"/>
      <c r="AB53" s="112"/>
      <c r="AC53" s="112"/>
      <c r="AD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W53" s="112"/>
      <c r="AX53" s="112"/>
      <c r="BA53" s="112"/>
      <c r="BF53" s="112"/>
      <c r="BG53" s="112"/>
      <c r="BH53" s="112"/>
      <c r="BI53" s="112"/>
    </row>
    <row r="54" ht="34.5" customHeight="1">
      <c r="A54" s="102">
        <v>35.0</v>
      </c>
      <c r="B54" s="103" t="str">
        <f>Prelim!B54</f>
        <v/>
      </c>
      <c r="C54" s="104"/>
      <c r="D54" s="105"/>
      <c r="E54" s="104"/>
      <c r="F54" s="106"/>
      <c r="G54" s="104"/>
      <c r="H54" s="106"/>
      <c r="I54" s="107"/>
      <c r="J54" s="106"/>
      <c r="K54" s="106"/>
      <c r="L54" s="108"/>
      <c r="M54" s="104"/>
      <c r="N54" s="109"/>
      <c r="O54" s="108"/>
      <c r="P54" s="110"/>
      <c r="Q54" s="110"/>
      <c r="R54" s="110"/>
      <c r="S54" s="110"/>
      <c r="T54" s="110"/>
      <c r="U54" s="110"/>
      <c r="V54" s="112"/>
      <c r="W54" s="112"/>
      <c r="X54" s="112"/>
      <c r="Y54" s="112"/>
      <c r="Z54" s="112"/>
      <c r="AA54" s="112"/>
      <c r="AB54" s="112"/>
      <c r="AC54" s="112"/>
      <c r="AD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W54" s="112"/>
      <c r="AX54" s="112"/>
      <c r="BA54" s="112"/>
      <c r="BF54" s="112"/>
      <c r="BG54" s="112"/>
      <c r="BH54" s="112"/>
      <c r="BI54" s="112"/>
    </row>
    <row r="55" ht="34.5" customHeight="1">
      <c r="A55" s="102">
        <v>36.0</v>
      </c>
      <c r="B55" s="103" t="str">
        <f>Prelim!B55</f>
        <v/>
      </c>
      <c r="C55" s="104"/>
      <c r="D55" s="105"/>
      <c r="E55" s="104"/>
      <c r="F55" s="106"/>
      <c r="G55" s="104"/>
      <c r="H55" s="106"/>
      <c r="I55" s="107"/>
      <c r="J55" s="106"/>
      <c r="K55" s="106"/>
      <c r="L55" s="108"/>
      <c r="M55" s="104"/>
      <c r="N55" s="109"/>
      <c r="O55" s="108"/>
      <c r="P55" s="110"/>
      <c r="Q55" s="110"/>
      <c r="R55" s="110"/>
      <c r="S55" s="110"/>
      <c r="T55" s="110"/>
      <c r="U55" s="110"/>
      <c r="V55" s="112"/>
      <c r="W55" s="112"/>
      <c r="X55" s="112"/>
      <c r="Y55" s="112"/>
      <c r="Z55" s="112"/>
      <c r="AA55" s="112"/>
      <c r="AB55" s="112"/>
      <c r="AC55" s="112"/>
      <c r="AD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W55" s="112"/>
      <c r="AX55" s="112"/>
      <c r="BA55" s="112"/>
      <c r="BF55" s="112"/>
      <c r="BG55" s="112"/>
      <c r="BH55" s="112"/>
      <c r="BI55" s="112"/>
    </row>
    <row r="56" ht="34.5" customHeight="1">
      <c r="A56" s="102">
        <v>37.0</v>
      </c>
      <c r="B56" s="103" t="str">
        <f>Prelim!B56</f>
        <v/>
      </c>
      <c r="C56" s="104"/>
      <c r="D56" s="105"/>
      <c r="E56" s="104"/>
      <c r="F56" s="106"/>
      <c r="G56" s="104"/>
      <c r="H56" s="106"/>
      <c r="I56" s="107"/>
      <c r="J56" s="106"/>
      <c r="K56" s="106"/>
      <c r="L56" s="108"/>
      <c r="M56" s="104"/>
      <c r="N56" s="109"/>
      <c r="O56" s="108"/>
      <c r="P56" s="110"/>
      <c r="Q56" s="110"/>
      <c r="R56" s="110"/>
      <c r="S56" s="110"/>
      <c r="T56" s="110"/>
      <c r="U56" s="110"/>
      <c r="V56" s="112"/>
      <c r="W56" s="112"/>
      <c r="X56" s="112"/>
      <c r="Y56" s="112"/>
      <c r="Z56" s="112"/>
      <c r="AA56" s="112"/>
      <c r="AB56" s="112"/>
      <c r="AC56" s="112"/>
      <c r="AD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W56" s="112"/>
      <c r="AX56" s="112"/>
      <c r="BA56" s="112"/>
      <c r="BF56" s="112"/>
      <c r="BG56" s="112"/>
      <c r="BH56" s="112"/>
      <c r="BI56" s="112"/>
    </row>
    <row r="57" ht="34.5" customHeight="1">
      <c r="A57" s="102">
        <v>38.0</v>
      </c>
      <c r="B57" s="103" t="str">
        <f>Prelim!B57</f>
        <v/>
      </c>
      <c r="C57" s="104"/>
      <c r="D57" s="105"/>
      <c r="E57" s="104"/>
      <c r="F57" s="106"/>
      <c r="G57" s="104"/>
      <c r="H57" s="106"/>
      <c r="I57" s="107"/>
      <c r="J57" s="106"/>
      <c r="K57" s="106"/>
      <c r="L57" s="108"/>
      <c r="M57" s="104"/>
      <c r="N57" s="109"/>
      <c r="O57" s="108"/>
      <c r="P57" s="110"/>
      <c r="Q57" s="110"/>
      <c r="R57" s="110"/>
      <c r="S57" s="110"/>
      <c r="T57" s="110"/>
      <c r="U57" s="110"/>
      <c r="V57" s="112"/>
      <c r="W57" s="112"/>
      <c r="X57" s="112"/>
      <c r="Y57" s="112"/>
      <c r="Z57" s="112"/>
      <c r="AA57" s="112"/>
      <c r="AB57" s="112"/>
      <c r="AC57" s="112"/>
      <c r="AD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W57" s="112"/>
      <c r="AX57" s="112"/>
      <c r="BA57" s="112"/>
      <c r="BF57" s="112"/>
      <c r="BG57" s="112"/>
      <c r="BH57" s="112"/>
      <c r="BI57" s="112"/>
    </row>
    <row r="58" ht="34.5" customHeight="1">
      <c r="A58" s="102">
        <v>39.0</v>
      </c>
      <c r="B58" s="103" t="str">
        <f>Prelim!B58</f>
        <v/>
      </c>
      <c r="C58" s="104"/>
      <c r="D58" s="105"/>
      <c r="E58" s="104"/>
      <c r="F58" s="106"/>
      <c r="G58" s="104"/>
      <c r="H58" s="106"/>
      <c r="I58" s="107"/>
      <c r="J58" s="106"/>
      <c r="K58" s="106"/>
      <c r="L58" s="108"/>
      <c r="M58" s="104"/>
      <c r="N58" s="109"/>
      <c r="O58" s="108"/>
      <c r="P58" s="110"/>
      <c r="Q58" s="110"/>
      <c r="R58" s="110"/>
      <c r="S58" s="110"/>
      <c r="T58" s="110"/>
      <c r="U58" s="110"/>
      <c r="V58" s="112"/>
      <c r="W58" s="112"/>
      <c r="X58" s="112"/>
      <c r="Y58" s="112"/>
      <c r="Z58" s="112"/>
      <c r="AA58" s="112"/>
      <c r="AB58" s="112"/>
      <c r="AC58" s="112"/>
      <c r="AD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W58" s="112"/>
      <c r="AX58" s="112"/>
      <c r="BA58" s="112"/>
      <c r="BF58" s="112"/>
      <c r="BG58" s="112"/>
      <c r="BH58" s="112"/>
      <c r="BI58" s="112"/>
    </row>
    <row r="59" ht="34.5" customHeight="1">
      <c r="A59" s="102">
        <v>40.0</v>
      </c>
      <c r="B59" s="103" t="str">
        <f>Prelim!B59</f>
        <v/>
      </c>
      <c r="C59" s="104"/>
      <c r="D59" s="105"/>
      <c r="E59" s="104"/>
      <c r="F59" s="106"/>
      <c r="G59" s="104"/>
      <c r="H59" s="106"/>
      <c r="I59" s="107"/>
      <c r="J59" s="106"/>
      <c r="K59" s="106"/>
      <c r="L59" s="108"/>
      <c r="M59" s="104"/>
      <c r="N59" s="109"/>
      <c r="O59" s="108"/>
      <c r="P59" s="110"/>
      <c r="Q59" s="110"/>
      <c r="R59" s="110"/>
      <c r="S59" s="110"/>
      <c r="T59" s="110"/>
      <c r="U59" s="110"/>
      <c r="V59" s="112"/>
      <c r="W59" s="112"/>
      <c r="X59" s="112"/>
      <c r="Y59" s="112"/>
      <c r="Z59" s="112"/>
      <c r="AA59" s="112"/>
      <c r="AB59" s="112"/>
      <c r="AC59" s="112"/>
      <c r="AD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W59" s="112"/>
      <c r="AX59" s="112"/>
      <c r="BA59" s="112"/>
      <c r="BF59" s="112"/>
      <c r="BG59" s="112"/>
      <c r="BH59" s="112"/>
      <c r="BI59" s="112"/>
    </row>
    <row r="60" ht="34.5" customHeight="1">
      <c r="A60" s="102">
        <v>41.0</v>
      </c>
      <c r="B60" s="103" t="str">
        <f>Prelim!B60</f>
        <v/>
      </c>
      <c r="C60" s="104"/>
      <c r="D60" s="105"/>
      <c r="E60" s="104"/>
      <c r="F60" s="106"/>
      <c r="G60" s="104"/>
      <c r="H60" s="106"/>
      <c r="I60" s="107"/>
      <c r="J60" s="106"/>
      <c r="K60" s="106"/>
      <c r="L60" s="108"/>
      <c r="M60" s="104"/>
      <c r="N60" s="109"/>
      <c r="O60" s="108"/>
      <c r="P60" s="110"/>
      <c r="Q60" s="110"/>
      <c r="R60" s="110"/>
      <c r="S60" s="110"/>
      <c r="T60" s="110"/>
      <c r="U60" s="110"/>
      <c r="V60" s="112"/>
      <c r="W60" s="112"/>
      <c r="X60" s="112"/>
      <c r="Y60" s="112"/>
      <c r="Z60" s="112"/>
      <c r="AA60" s="112"/>
      <c r="AB60" s="112"/>
      <c r="AC60" s="112"/>
      <c r="AD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W60" s="112"/>
      <c r="AX60" s="112"/>
      <c r="BA60" s="112"/>
      <c r="BF60" s="112"/>
      <c r="BG60" s="112"/>
      <c r="BH60" s="112"/>
      <c r="BI60" s="112"/>
    </row>
    <row r="61" ht="34.5" customHeight="1">
      <c r="A61" s="102">
        <v>42.0</v>
      </c>
      <c r="B61" s="103" t="str">
        <f>Prelim!B61</f>
        <v/>
      </c>
      <c r="C61" s="104"/>
      <c r="D61" s="105"/>
      <c r="E61" s="104"/>
      <c r="F61" s="106"/>
      <c r="G61" s="104"/>
      <c r="H61" s="106"/>
      <c r="I61" s="107"/>
      <c r="J61" s="106"/>
      <c r="K61" s="106"/>
      <c r="L61" s="108"/>
      <c r="M61" s="104"/>
      <c r="N61" s="109"/>
      <c r="O61" s="108"/>
      <c r="P61" s="110"/>
      <c r="Q61" s="110"/>
      <c r="R61" s="110"/>
      <c r="S61" s="110"/>
      <c r="T61" s="110"/>
      <c r="U61" s="110"/>
      <c r="V61" s="112"/>
      <c r="W61" s="112"/>
      <c r="X61" s="112"/>
      <c r="Y61" s="112"/>
      <c r="Z61" s="112"/>
      <c r="AA61" s="112"/>
      <c r="AB61" s="112"/>
      <c r="AC61" s="112"/>
      <c r="AD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W61" s="112"/>
      <c r="AX61" s="112"/>
      <c r="BA61" s="112"/>
      <c r="BF61" s="112"/>
      <c r="BG61" s="112"/>
      <c r="BH61" s="112"/>
      <c r="BI61" s="112"/>
    </row>
    <row r="62" ht="34.5" customHeight="1">
      <c r="A62" s="102">
        <v>43.0</v>
      </c>
      <c r="B62" s="103" t="str">
        <f>Prelim!B62</f>
        <v/>
      </c>
      <c r="C62" s="104"/>
      <c r="D62" s="105"/>
      <c r="E62" s="104"/>
      <c r="F62" s="106"/>
      <c r="G62" s="104"/>
      <c r="H62" s="106"/>
      <c r="I62" s="107"/>
      <c r="J62" s="106"/>
      <c r="K62" s="106"/>
      <c r="L62" s="108"/>
      <c r="M62" s="104"/>
      <c r="N62" s="109"/>
      <c r="O62" s="108"/>
      <c r="P62" s="110"/>
      <c r="Q62" s="110"/>
      <c r="R62" s="110"/>
      <c r="S62" s="110"/>
      <c r="T62" s="110"/>
      <c r="U62" s="110"/>
      <c r="V62" s="112"/>
      <c r="W62" s="112"/>
      <c r="X62" s="112"/>
      <c r="Y62" s="112"/>
      <c r="Z62" s="112"/>
      <c r="AA62" s="112"/>
      <c r="AB62" s="112"/>
      <c r="AC62" s="112"/>
      <c r="AD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W62" s="112"/>
      <c r="AX62" s="112"/>
      <c r="BA62" s="112"/>
      <c r="BF62" s="112"/>
      <c r="BG62" s="112"/>
      <c r="BH62" s="112"/>
      <c r="BI62" s="112"/>
    </row>
    <row r="63" ht="34.5" customHeight="1">
      <c r="A63" s="102">
        <v>44.0</v>
      </c>
      <c r="B63" s="103" t="str">
        <f>Prelim!B63</f>
        <v/>
      </c>
      <c r="C63" s="104"/>
      <c r="D63" s="105"/>
      <c r="E63" s="104"/>
      <c r="F63" s="106"/>
      <c r="G63" s="104"/>
      <c r="H63" s="106"/>
      <c r="I63" s="107"/>
      <c r="J63" s="106"/>
      <c r="K63" s="106"/>
      <c r="L63" s="108"/>
      <c r="M63" s="104"/>
      <c r="N63" s="109"/>
      <c r="O63" s="108"/>
      <c r="P63" s="110"/>
      <c r="Q63" s="110"/>
      <c r="R63" s="110"/>
      <c r="S63" s="110"/>
      <c r="T63" s="110"/>
      <c r="U63" s="110"/>
      <c r="V63" s="112"/>
      <c r="W63" s="112"/>
      <c r="X63" s="112"/>
      <c r="Y63" s="112"/>
      <c r="Z63" s="112"/>
      <c r="AA63" s="112"/>
      <c r="AB63" s="112"/>
      <c r="AC63" s="112"/>
      <c r="AD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W63" s="112"/>
      <c r="AX63" s="112"/>
      <c r="BA63" s="112"/>
      <c r="BF63" s="112"/>
      <c r="BG63" s="112"/>
      <c r="BH63" s="112"/>
      <c r="BI63" s="112"/>
    </row>
    <row r="64" ht="34.5" customHeight="1">
      <c r="A64" s="102">
        <v>45.0</v>
      </c>
      <c r="B64" s="103" t="str">
        <f>Prelim!B64</f>
        <v/>
      </c>
      <c r="C64" s="104"/>
      <c r="D64" s="105"/>
      <c r="E64" s="104"/>
      <c r="F64" s="106"/>
      <c r="G64" s="104"/>
      <c r="H64" s="106"/>
      <c r="I64" s="107"/>
      <c r="J64" s="106"/>
      <c r="K64" s="106"/>
      <c r="L64" s="108"/>
      <c r="M64" s="104"/>
      <c r="N64" s="109"/>
      <c r="O64" s="108"/>
      <c r="P64" s="110"/>
      <c r="Q64" s="110"/>
      <c r="R64" s="110"/>
      <c r="S64" s="110"/>
      <c r="T64" s="110"/>
      <c r="U64" s="110"/>
      <c r="V64" s="112"/>
      <c r="W64" s="112"/>
      <c r="X64" s="112"/>
      <c r="Y64" s="112"/>
      <c r="Z64" s="112"/>
      <c r="AA64" s="112"/>
      <c r="AB64" s="112"/>
      <c r="AC64" s="112"/>
      <c r="AD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W64" s="112"/>
      <c r="AX64" s="112"/>
      <c r="BA64" s="112"/>
      <c r="BF64" s="112"/>
      <c r="BG64" s="112"/>
      <c r="BH64" s="112"/>
      <c r="BI64" s="112"/>
    </row>
    <row r="65" ht="34.5" customHeight="1">
      <c r="A65" s="102">
        <v>46.0</v>
      </c>
      <c r="B65" s="103" t="str">
        <f>Prelim!B65</f>
        <v/>
      </c>
      <c r="C65" s="104"/>
      <c r="D65" s="105"/>
      <c r="E65" s="104"/>
      <c r="F65" s="106"/>
      <c r="G65" s="104"/>
      <c r="H65" s="106"/>
      <c r="I65" s="107"/>
      <c r="J65" s="106"/>
      <c r="K65" s="106"/>
      <c r="L65" s="108"/>
      <c r="M65" s="104"/>
      <c r="N65" s="109"/>
      <c r="O65" s="108"/>
      <c r="P65" s="110"/>
      <c r="Q65" s="110"/>
      <c r="R65" s="110"/>
      <c r="S65" s="110"/>
      <c r="T65" s="110"/>
      <c r="U65" s="110"/>
      <c r="V65" s="112"/>
      <c r="W65" s="112"/>
      <c r="X65" s="112"/>
      <c r="Y65" s="112"/>
      <c r="Z65" s="112"/>
      <c r="AA65" s="112"/>
      <c r="AB65" s="112"/>
      <c r="AC65" s="112"/>
      <c r="AD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W65" s="112"/>
      <c r="AX65" s="112"/>
      <c r="BA65" s="112"/>
      <c r="BF65" s="112"/>
      <c r="BG65" s="112"/>
      <c r="BH65" s="112"/>
      <c r="BI65" s="112"/>
    </row>
    <row r="66" ht="34.5" customHeight="1">
      <c r="A66" s="102">
        <v>47.0</v>
      </c>
      <c r="B66" s="103" t="str">
        <f>Prelim!B66</f>
        <v/>
      </c>
      <c r="C66" s="104"/>
      <c r="D66" s="105"/>
      <c r="E66" s="104"/>
      <c r="F66" s="106"/>
      <c r="G66" s="104"/>
      <c r="H66" s="106"/>
      <c r="I66" s="107"/>
      <c r="J66" s="106"/>
      <c r="K66" s="106"/>
      <c r="L66" s="108"/>
      <c r="M66" s="104"/>
      <c r="N66" s="109"/>
      <c r="O66" s="108"/>
      <c r="P66" s="110"/>
      <c r="Q66" s="110"/>
      <c r="R66" s="110"/>
      <c r="S66" s="110"/>
      <c r="T66" s="110"/>
      <c r="U66" s="110"/>
      <c r="V66" s="112"/>
      <c r="W66" s="112"/>
      <c r="X66" s="112"/>
      <c r="Y66" s="112"/>
      <c r="Z66" s="112"/>
      <c r="AA66" s="112"/>
      <c r="AB66" s="112"/>
      <c r="AC66" s="112"/>
      <c r="AD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W66" s="112"/>
      <c r="AX66" s="112"/>
      <c r="BA66" s="112"/>
      <c r="BF66" s="112"/>
      <c r="BG66" s="112"/>
      <c r="BH66" s="112"/>
      <c r="BI66" s="112"/>
    </row>
    <row r="67" ht="34.5" customHeight="1">
      <c r="A67" s="102">
        <v>48.0</v>
      </c>
      <c r="B67" s="103" t="str">
        <f>Prelim!B67</f>
        <v/>
      </c>
      <c r="C67" s="104"/>
      <c r="D67" s="105"/>
      <c r="E67" s="104"/>
      <c r="F67" s="106"/>
      <c r="G67" s="104"/>
      <c r="H67" s="106"/>
      <c r="I67" s="107"/>
      <c r="J67" s="106"/>
      <c r="K67" s="106"/>
      <c r="L67" s="108"/>
      <c r="M67" s="104"/>
      <c r="N67" s="109"/>
      <c r="O67" s="108"/>
      <c r="P67" s="110"/>
      <c r="Q67" s="110"/>
      <c r="R67" s="110"/>
      <c r="S67" s="110"/>
      <c r="T67" s="110"/>
      <c r="U67" s="110"/>
      <c r="V67" s="112"/>
      <c r="W67" s="112"/>
      <c r="X67" s="112"/>
      <c r="Y67" s="112"/>
      <c r="Z67" s="112"/>
      <c r="AA67" s="112"/>
      <c r="AB67" s="112"/>
      <c r="AC67" s="112"/>
      <c r="AD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W67" s="112"/>
      <c r="AX67" s="112"/>
      <c r="BA67" s="112"/>
      <c r="BF67" s="112"/>
      <c r="BG67" s="112"/>
      <c r="BH67" s="112"/>
      <c r="BI67" s="112"/>
    </row>
    <row r="68" ht="34.5" customHeight="1">
      <c r="A68" s="102">
        <v>49.0</v>
      </c>
      <c r="B68" s="103" t="str">
        <f>Prelim!B68</f>
        <v/>
      </c>
      <c r="C68" s="104"/>
      <c r="D68" s="105"/>
      <c r="E68" s="104"/>
      <c r="F68" s="106"/>
      <c r="G68" s="104"/>
      <c r="H68" s="106"/>
      <c r="I68" s="107"/>
      <c r="J68" s="106"/>
      <c r="K68" s="106"/>
      <c r="L68" s="108"/>
      <c r="M68" s="104"/>
      <c r="N68" s="109"/>
      <c r="O68" s="108"/>
      <c r="P68" s="110"/>
      <c r="Q68" s="110"/>
      <c r="R68" s="110"/>
      <c r="S68" s="110"/>
      <c r="T68" s="110"/>
      <c r="U68" s="110"/>
      <c r="V68" s="112"/>
      <c r="W68" s="112"/>
      <c r="X68" s="112"/>
      <c r="Y68" s="112"/>
      <c r="Z68" s="112"/>
      <c r="AA68" s="112"/>
      <c r="AB68" s="112"/>
      <c r="AC68" s="112"/>
      <c r="AD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W68" s="112"/>
      <c r="AX68" s="112"/>
      <c r="BA68" s="112"/>
      <c r="BF68" s="112"/>
      <c r="BG68" s="112"/>
      <c r="BH68" s="112"/>
      <c r="BI68" s="112"/>
    </row>
    <row r="69" ht="34.5" customHeight="1">
      <c r="A69" s="102">
        <v>50.0</v>
      </c>
      <c r="B69" s="103" t="str">
        <f>Prelim!B69</f>
        <v/>
      </c>
      <c r="C69" s="104"/>
      <c r="D69" s="105"/>
      <c r="E69" s="104"/>
      <c r="F69" s="106"/>
      <c r="G69" s="104"/>
      <c r="H69" s="106"/>
      <c r="I69" s="107"/>
      <c r="J69" s="106"/>
      <c r="K69" s="106"/>
      <c r="L69" s="108"/>
      <c r="M69" s="104"/>
      <c r="N69" s="109"/>
      <c r="O69" s="108"/>
      <c r="P69" s="110"/>
      <c r="Q69" s="110"/>
      <c r="R69" s="110"/>
      <c r="S69" s="110"/>
      <c r="T69" s="110"/>
      <c r="U69" s="110"/>
      <c r="V69" s="112"/>
      <c r="W69" s="112"/>
      <c r="X69" s="112"/>
      <c r="Y69" s="112"/>
      <c r="Z69" s="112"/>
      <c r="AA69" s="112"/>
      <c r="AB69" s="112"/>
      <c r="AC69" s="112"/>
      <c r="AD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W69" s="112"/>
      <c r="AX69" s="112"/>
      <c r="BA69" s="112"/>
      <c r="BF69" s="112"/>
      <c r="BG69" s="112"/>
      <c r="BH69" s="112"/>
      <c r="BI69" s="112"/>
    </row>
    <row r="70" ht="34.5" customHeight="1">
      <c r="A70" s="102">
        <v>51.0</v>
      </c>
      <c r="B70" s="103" t="str">
        <f>Prelim!B70</f>
        <v/>
      </c>
      <c r="C70" s="104"/>
      <c r="D70" s="105"/>
      <c r="E70" s="104"/>
      <c r="F70" s="106"/>
      <c r="G70" s="104"/>
      <c r="H70" s="106"/>
      <c r="I70" s="107"/>
      <c r="J70" s="106"/>
      <c r="K70" s="106"/>
      <c r="L70" s="108"/>
      <c r="M70" s="104"/>
      <c r="N70" s="109"/>
      <c r="O70" s="108"/>
      <c r="P70" s="110"/>
      <c r="Q70" s="110"/>
      <c r="R70" s="110"/>
      <c r="S70" s="110"/>
      <c r="T70" s="110"/>
      <c r="U70" s="110"/>
      <c r="V70" s="112"/>
      <c r="W70" s="112"/>
      <c r="X70" s="112"/>
      <c r="Y70" s="112"/>
      <c r="Z70" s="112"/>
      <c r="AA70" s="112"/>
      <c r="AB70" s="112"/>
      <c r="AC70" s="112"/>
      <c r="AD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W70" s="112"/>
      <c r="AX70" s="112"/>
      <c r="BA70" s="112"/>
      <c r="BF70" s="112"/>
      <c r="BG70" s="112"/>
      <c r="BH70" s="112"/>
      <c r="BI70" s="112"/>
    </row>
    <row r="71" ht="34.5" customHeight="1">
      <c r="A71" s="102">
        <v>52.0</v>
      </c>
      <c r="B71" s="103" t="str">
        <f>Prelim!B71</f>
        <v/>
      </c>
      <c r="C71" s="104"/>
      <c r="D71" s="105"/>
      <c r="E71" s="104"/>
      <c r="F71" s="106"/>
      <c r="G71" s="104"/>
      <c r="H71" s="106"/>
      <c r="I71" s="107"/>
      <c r="J71" s="106"/>
      <c r="K71" s="106"/>
      <c r="L71" s="108"/>
      <c r="M71" s="104"/>
      <c r="N71" s="109"/>
      <c r="O71" s="108"/>
      <c r="P71" s="110"/>
      <c r="Q71" s="110"/>
      <c r="R71" s="110"/>
      <c r="S71" s="110"/>
      <c r="T71" s="110"/>
      <c r="U71" s="110"/>
      <c r="V71" s="112"/>
      <c r="W71" s="112"/>
      <c r="X71" s="112"/>
      <c r="Y71" s="112"/>
      <c r="Z71" s="112"/>
      <c r="AA71" s="112"/>
      <c r="AB71" s="112"/>
      <c r="AC71" s="112"/>
      <c r="AD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W71" s="112"/>
      <c r="AX71" s="112"/>
      <c r="BA71" s="112"/>
      <c r="BF71" s="112"/>
      <c r="BG71" s="112"/>
      <c r="BH71" s="112"/>
      <c r="BI71" s="112"/>
    </row>
    <row r="72" ht="34.5" customHeight="1">
      <c r="A72" s="102">
        <v>53.0</v>
      </c>
      <c r="B72" s="103" t="str">
        <f>Prelim!B72</f>
        <v/>
      </c>
      <c r="C72" s="104"/>
      <c r="D72" s="105"/>
      <c r="E72" s="104"/>
      <c r="F72" s="106"/>
      <c r="G72" s="104"/>
      <c r="H72" s="106"/>
      <c r="I72" s="107"/>
      <c r="J72" s="106"/>
      <c r="K72" s="106"/>
      <c r="L72" s="108"/>
      <c r="M72" s="104"/>
      <c r="N72" s="109"/>
      <c r="O72" s="108"/>
      <c r="P72" s="110"/>
      <c r="Q72" s="110"/>
      <c r="R72" s="110"/>
      <c r="S72" s="110"/>
      <c r="T72" s="110"/>
      <c r="U72" s="110"/>
      <c r="V72" s="112"/>
      <c r="W72" s="112"/>
      <c r="X72" s="112"/>
      <c r="Y72" s="112"/>
      <c r="Z72" s="112"/>
      <c r="AA72" s="112"/>
      <c r="AB72" s="112"/>
      <c r="AC72" s="112"/>
      <c r="AD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W72" s="112"/>
      <c r="AX72" s="112"/>
      <c r="BA72" s="112"/>
      <c r="BF72" s="112"/>
      <c r="BG72" s="112"/>
      <c r="BH72" s="112"/>
      <c r="BI72" s="112"/>
    </row>
    <row r="73" ht="34.5" customHeight="1">
      <c r="A73" s="102">
        <v>54.0</v>
      </c>
      <c r="B73" s="103" t="str">
        <f>Prelim!B73</f>
        <v/>
      </c>
      <c r="C73" s="104"/>
      <c r="D73" s="105"/>
      <c r="E73" s="104"/>
      <c r="F73" s="106"/>
      <c r="G73" s="104"/>
      <c r="H73" s="106"/>
      <c r="I73" s="107"/>
      <c r="J73" s="106"/>
      <c r="K73" s="106"/>
      <c r="L73" s="108"/>
      <c r="M73" s="104"/>
      <c r="N73" s="109"/>
      <c r="O73" s="108"/>
      <c r="P73" s="110"/>
      <c r="Q73" s="110"/>
      <c r="R73" s="110"/>
      <c r="S73" s="110"/>
      <c r="T73" s="110"/>
      <c r="U73" s="110"/>
      <c r="V73" s="112"/>
      <c r="W73" s="112"/>
      <c r="X73" s="112"/>
      <c r="Y73" s="112"/>
      <c r="Z73" s="112"/>
      <c r="AA73" s="112"/>
      <c r="AB73" s="112"/>
      <c r="AC73" s="112"/>
      <c r="AD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W73" s="114"/>
      <c r="AX73" s="114"/>
      <c r="AY73" s="115"/>
      <c r="AZ73" s="115"/>
      <c r="BA73" s="112"/>
      <c r="BF73" s="112"/>
      <c r="BG73" s="112"/>
      <c r="BH73" s="112"/>
      <c r="BI73" s="112"/>
    </row>
    <row r="74" ht="34.5" customHeight="1">
      <c r="A74" s="102">
        <v>55.0</v>
      </c>
      <c r="B74" s="103" t="str">
        <f>Prelim!B74</f>
        <v/>
      </c>
      <c r="C74" s="104"/>
      <c r="D74" s="105"/>
      <c r="E74" s="104"/>
      <c r="F74" s="106"/>
      <c r="G74" s="104"/>
      <c r="H74" s="106"/>
      <c r="I74" s="107"/>
      <c r="J74" s="106"/>
      <c r="K74" s="106"/>
      <c r="L74" s="108"/>
      <c r="M74" s="104"/>
      <c r="N74" s="109"/>
      <c r="O74" s="108"/>
      <c r="P74" s="110"/>
      <c r="Q74" s="110"/>
      <c r="R74" s="110"/>
      <c r="S74" s="110"/>
      <c r="T74" s="110"/>
      <c r="U74" s="110"/>
      <c r="V74" s="114"/>
      <c r="W74" s="114"/>
      <c r="X74" s="114"/>
      <c r="Y74" s="114"/>
      <c r="Z74" s="114"/>
      <c r="AA74" s="114"/>
      <c r="AB74" s="114"/>
      <c r="AC74" s="114"/>
      <c r="AD74" s="114"/>
      <c r="AE74" s="115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5"/>
      <c r="AV74" s="115"/>
      <c r="AW74" s="112"/>
      <c r="AX74" s="112"/>
      <c r="BA74" s="112"/>
      <c r="BF74" s="112"/>
      <c r="BG74" s="112"/>
      <c r="BH74" s="112"/>
      <c r="BI74" s="112"/>
    </row>
    <row r="75" ht="15.75" customHeight="1"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W75" s="112"/>
      <c r="AX75" s="112"/>
      <c r="BA75" s="112"/>
      <c r="BF75" s="112"/>
      <c r="BG75" s="112"/>
      <c r="BH75" s="112"/>
      <c r="BI75" s="112"/>
    </row>
    <row r="76" ht="27.75" customHeight="1">
      <c r="A76" s="133" t="s">
        <v>71</v>
      </c>
      <c r="B76" s="72"/>
      <c r="C76" s="134"/>
      <c r="D76" s="2"/>
      <c r="E76" s="2"/>
      <c r="F76" s="2"/>
      <c r="G76" s="3"/>
      <c r="H76" s="135"/>
      <c r="I76" s="2"/>
      <c r="J76" s="2"/>
      <c r="K76" s="3"/>
      <c r="L76" s="136"/>
      <c r="M76" s="137"/>
      <c r="N76" s="137"/>
      <c r="O76" s="137"/>
      <c r="P76" s="137"/>
      <c r="Q76" s="137"/>
      <c r="R76" s="137"/>
      <c r="S76" s="137"/>
      <c r="T76" s="137"/>
      <c r="U76" s="72"/>
      <c r="V76" s="112"/>
      <c r="W76" s="112"/>
      <c r="X76" s="112"/>
      <c r="Y76" s="112"/>
      <c r="Z76" s="112"/>
      <c r="AA76" s="112"/>
      <c r="AB76" s="112"/>
      <c r="AC76" s="112"/>
      <c r="AD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W76" s="112"/>
      <c r="AX76" s="112"/>
      <c r="BA76" s="112"/>
      <c r="BF76" s="112"/>
      <c r="BG76" s="112"/>
      <c r="BH76" s="112"/>
      <c r="BI76" s="112"/>
    </row>
    <row r="77" ht="15.75" customHeight="1">
      <c r="A77" s="68"/>
      <c r="B77" s="9"/>
      <c r="C77" s="138" t="s">
        <v>72</v>
      </c>
      <c r="D77" s="2"/>
      <c r="E77" s="2"/>
      <c r="F77" s="2"/>
      <c r="G77" s="3"/>
      <c r="H77" s="139" t="s">
        <v>73</v>
      </c>
      <c r="I77" s="2"/>
      <c r="J77" s="2"/>
      <c r="K77" s="3"/>
      <c r="L77" s="68"/>
      <c r="M77" s="8"/>
      <c r="N77" s="8"/>
      <c r="O77" s="8"/>
      <c r="P77" s="8"/>
      <c r="Q77" s="8"/>
      <c r="R77" s="8"/>
      <c r="S77" s="8"/>
      <c r="T77" s="8"/>
      <c r="U77" s="9"/>
      <c r="V77" s="112"/>
      <c r="W77" s="112"/>
      <c r="X77" s="112"/>
      <c r="Y77" s="112"/>
      <c r="Z77" s="112"/>
      <c r="AA77" s="112"/>
      <c r="AB77" s="112"/>
      <c r="AC77" s="112"/>
      <c r="AD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W77" s="112"/>
      <c r="AX77" s="112"/>
      <c r="BA77" s="112"/>
      <c r="BF77" s="112"/>
      <c r="BG77" s="112"/>
      <c r="BH77" s="112"/>
      <c r="BI77" s="112"/>
    </row>
    <row r="78" ht="34.5" customHeight="1">
      <c r="A78" s="133" t="s">
        <v>74</v>
      </c>
      <c r="B78" s="72"/>
      <c r="C78" s="140"/>
      <c r="D78" s="2"/>
      <c r="E78" s="2"/>
      <c r="F78" s="2"/>
      <c r="G78" s="3"/>
      <c r="H78" s="140"/>
      <c r="I78" s="2"/>
      <c r="J78" s="2"/>
      <c r="K78" s="3"/>
      <c r="L78" s="136"/>
      <c r="M78" s="137"/>
      <c r="N78" s="137"/>
      <c r="O78" s="137"/>
      <c r="P78" s="137"/>
      <c r="Q78" s="137"/>
      <c r="R78" s="137"/>
      <c r="S78" s="137"/>
      <c r="T78" s="137"/>
      <c r="U78" s="72"/>
      <c r="V78" s="112"/>
      <c r="W78" s="112"/>
      <c r="X78" s="112"/>
      <c r="Y78" s="112"/>
      <c r="Z78" s="112"/>
      <c r="AA78" s="112"/>
      <c r="AB78" s="112"/>
      <c r="AC78" s="112"/>
      <c r="AD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W78" s="112"/>
      <c r="AX78" s="112"/>
      <c r="BA78" s="112"/>
      <c r="BF78" s="112"/>
      <c r="BG78" s="112"/>
      <c r="BH78" s="112"/>
      <c r="BI78" s="112"/>
    </row>
    <row r="79" ht="15.75" customHeight="1">
      <c r="A79" s="68"/>
      <c r="B79" s="9"/>
      <c r="C79" s="138" t="s">
        <v>72</v>
      </c>
      <c r="D79" s="2"/>
      <c r="E79" s="2"/>
      <c r="F79" s="2"/>
      <c r="G79" s="3"/>
      <c r="H79" s="139" t="s">
        <v>73</v>
      </c>
      <c r="I79" s="2"/>
      <c r="J79" s="2"/>
      <c r="K79" s="3"/>
      <c r="L79" s="68"/>
      <c r="M79" s="8"/>
      <c r="N79" s="8"/>
      <c r="O79" s="8"/>
      <c r="P79" s="8"/>
      <c r="Q79" s="8"/>
      <c r="R79" s="8"/>
      <c r="S79" s="8"/>
      <c r="T79" s="8"/>
      <c r="U79" s="9"/>
      <c r="V79" s="112"/>
      <c r="W79" s="112"/>
      <c r="X79" s="112"/>
      <c r="Y79" s="112"/>
      <c r="Z79" s="112"/>
      <c r="AA79" s="112"/>
      <c r="AB79" s="112"/>
      <c r="AC79" s="112"/>
      <c r="AD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W79" s="112"/>
      <c r="AX79" s="112"/>
      <c r="BA79" s="112"/>
      <c r="BF79" s="112"/>
      <c r="BG79" s="112"/>
      <c r="BH79" s="112"/>
      <c r="BI79" s="112"/>
    </row>
    <row r="80" ht="15.75" customHeight="1"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W80" s="112"/>
      <c r="AX80" s="112"/>
      <c r="BA80" s="112"/>
      <c r="BF80" s="112"/>
      <c r="BG80" s="112"/>
      <c r="BH80" s="112"/>
      <c r="BI80" s="112"/>
    </row>
    <row r="81" ht="15.75" customHeight="1">
      <c r="A81" s="116"/>
      <c r="B81" s="116"/>
      <c r="C81" s="116"/>
      <c r="D81" s="116"/>
      <c r="E81" s="117"/>
      <c r="F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W81" s="112"/>
      <c r="AX81" s="112"/>
      <c r="BA81" s="112"/>
      <c r="BF81" s="112"/>
      <c r="BG81" s="112"/>
      <c r="BH81" s="112"/>
      <c r="BI81" s="112"/>
    </row>
    <row r="82" ht="15.75" customHeight="1">
      <c r="A82" s="118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W82" s="112"/>
      <c r="AX82" s="112"/>
      <c r="BA82" s="112"/>
      <c r="BF82" s="112"/>
      <c r="BG82" s="112"/>
      <c r="BH82" s="112"/>
      <c r="BI82" s="112"/>
    </row>
    <row r="83" ht="15.75" customHeight="1"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W83" s="112"/>
      <c r="AX83" s="112"/>
      <c r="BA83" s="112"/>
      <c r="BF83" s="112"/>
      <c r="BG83" s="112"/>
      <c r="BH83" s="112"/>
      <c r="BI83" s="112"/>
    </row>
    <row r="84" ht="15.75" customHeight="1"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W84" s="112"/>
      <c r="AX84" s="112"/>
      <c r="BA84" s="112"/>
      <c r="BF84" s="112"/>
      <c r="BG84" s="112"/>
      <c r="BH84" s="112"/>
      <c r="BI84" s="112"/>
    </row>
    <row r="85" ht="15.75" customHeight="1"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W85" s="112"/>
      <c r="AX85" s="112"/>
      <c r="BA85" s="112"/>
      <c r="BF85" s="112"/>
      <c r="BG85" s="112"/>
      <c r="BH85" s="112"/>
      <c r="BI85" s="112"/>
    </row>
    <row r="86" ht="15.75" customHeight="1"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W86" s="112"/>
      <c r="AX86" s="112"/>
      <c r="BA86" s="112"/>
      <c r="BF86" s="112"/>
      <c r="BG86" s="112"/>
      <c r="BH86" s="112"/>
      <c r="BI86" s="112"/>
    </row>
    <row r="87" ht="15.75" customHeight="1"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W87" s="112"/>
      <c r="AX87" s="112"/>
      <c r="BA87" s="112"/>
      <c r="BF87" s="112"/>
      <c r="BG87" s="112"/>
      <c r="BH87" s="112"/>
      <c r="BI87" s="112"/>
    </row>
    <row r="88" ht="15.75" customHeight="1"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W88" s="112"/>
      <c r="AX88" s="112"/>
      <c r="BA88" s="112"/>
      <c r="BF88" s="112"/>
      <c r="BG88" s="112"/>
      <c r="BH88" s="112"/>
      <c r="BI88" s="112"/>
    </row>
    <row r="89" ht="15.75" customHeight="1"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W89" s="112"/>
      <c r="AX89" s="112"/>
      <c r="BA89" s="112"/>
      <c r="BF89" s="112"/>
      <c r="BG89" s="112"/>
      <c r="BH89" s="112"/>
      <c r="BI89" s="112"/>
    </row>
    <row r="90" ht="15.75" customHeight="1"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W90" s="112"/>
      <c r="AX90" s="112"/>
      <c r="BA90" s="112"/>
      <c r="BF90" s="112"/>
      <c r="BG90" s="112"/>
      <c r="BH90" s="112"/>
      <c r="BI90" s="112"/>
    </row>
    <row r="91" ht="15.75" customHeight="1"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W91" s="112"/>
      <c r="AX91" s="112"/>
      <c r="BA91" s="112"/>
      <c r="BF91" s="112"/>
      <c r="BG91" s="112"/>
      <c r="BH91" s="112"/>
      <c r="BI91" s="112"/>
    </row>
    <row r="92" ht="15.75" customHeight="1"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W92" s="112"/>
      <c r="AX92" s="112"/>
      <c r="BA92" s="112"/>
      <c r="BF92" s="112"/>
      <c r="BG92" s="112"/>
      <c r="BH92" s="112"/>
      <c r="BI92" s="112"/>
    </row>
    <row r="93" ht="15.75" customHeight="1"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W93" s="112"/>
      <c r="AX93" s="112"/>
      <c r="BA93" s="112"/>
      <c r="BF93" s="112"/>
      <c r="BG93" s="112"/>
      <c r="BH93" s="112"/>
      <c r="BI93" s="112"/>
    </row>
    <row r="94" ht="15.75" customHeight="1"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W94" s="112"/>
      <c r="AX94" s="112"/>
      <c r="BA94" s="112"/>
      <c r="BF94" s="112"/>
      <c r="BG94" s="112"/>
      <c r="BH94" s="112"/>
      <c r="BI94" s="112"/>
    </row>
    <row r="95" ht="15.75" customHeight="1"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W95" s="112"/>
      <c r="AX95" s="112"/>
      <c r="BA95" s="112"/>
      <c r="BF95" s="112"/>
      <c r="BG95" s="112"/>
      <c r="BH95" s="112"/>
      <c r="BI95" s="112"/>
    </row>
    <row r="96" ht="15.75" customHeight="1"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W96" s="112"/>
      <c r="AX96" s="112"/>
      <c r="BA96" s="112"/>
      <c r="BF96" s="112"/>
      <c r="BG96" s="112"/>
      <c r="BH96" s="112"/>
      <c r="BI96" s="112"/>
    </row>
    <row r="97" ht="15.75" customHeight="1"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W97" s="112"/>
      <c r="AX97" s="112"/>
      <c r="BA97" s="112"/>
      <c r="BF97" s="112"/>
      <c r="BG97" s="112"/>
      <c r="BH97" s="112"/>
      <c r="BI97" s="112"/>
    </row>
    <row r="98" ht="15.75" customHeight="1"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W98" s="112"/>
      <c r="AX98" s="112"/>
      <c r="BA98" s="112"/>
      <c r="BF98" s="112"/>
      <c r="BG98" s="112"/>
      <c r="BH98" s="112"/>
      <c r="BI98" s="112"/>
    </row>
    <row r="99" ht="15.75" customHeight="1"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W99" s="112"/>
      <c r="AX99" s="112"/>
      <c r="BA99" s="112"/>
      <c r="BF99" s="112"/>
      <c r="BG99" s="112"/>
      <c r="BH99" s="112"/>
      <c r="BI99" s="112"/>
    </row>
    <row r="100" ht="15.75" customHeight="1"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W100" s="112"/>
      <c r="AX100" s="112"/>
      <c r="BA100" s="112"/>
      <c r="BF100" s="112"/>
      <c r="BG100" s="112"/>
      <c r="BH100" s="112"/>
      <c r="BI100" s="112"/>
    </row>
    <row r="101" ht="15.75" customHeight="1"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W101" s="112"/>
      <c r="AX101" s="112"/>
      <c r="BA101" s="112"/>
      <c r="BF101" s="112"/>
      <c r="BG101" s="112"/>
      <c r="BH101" s="112"/>
      <c r="BI101" s="112"/>
    </row>
    <row r="102" ht="15.75" customHeight="1"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W102" s="112"/>
      <c r="AX102" s="112"/>
      <c r="BA102" s="112"/>
      <c r="BF102" s="112"/>
      <c r="BG102" s="112"/>
      <c r="BH102" s="112"/>
      <c r="BI102" s="112"/>
    </row>
    <row r="103" ht="15.75" customHeight="1"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W103" s="112"/>
      <c r="AX103" s="112"/>
      <c r="BA103" s="112"/>
      <c r="BF103" s="112"/>
      <c r="BG103" s="112"/>
      <c r="BH103" s="112"/>
      <c r="BI103" s="112"/>
    </row>
    <row r="104" ht="15.75" customHeight="1"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W104" s="112"/>
      <c r="AX104" s="112"/>
      <c r="BA104" s="112"/>
      <c r="BF104" s="112"/>
      <c r="BG104" s="112"/>
      <c r="BH104" s="112"/>
      <c r="BI104" s="112"/>
    </row>
    <row r="105" ht="15.75" customHeight="1"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W105" s="112"/>
      <c r="AX105" s="112"/>
      <c r="BA105" s="112"/>
      <c r="BF105" s="112"/>
      <c r="BG105" s="112"/>
      <c r="BH105" s="112"/>
      <c r="BI105" s="112"/>
    </row>
    <row r="106" ht="15.75" customHeight="1"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W106" s="112"/>
      <c r="AX106" s="112"/>
      <c r="BA106" s="112"/>
      <c r="BF106" s="112"/>
      <c r="BG106" s="112"/>
      <c r="BH106" s="112"/>
      <c r="BI106" s="112"/>
    </row>
    <row r="107" ht="15.75" customHeight="1"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W107" s="112"/>
      <c r="AX107" s="112"/>
      <c r="BA107" s="112"/>
      <c r="BF107" s="112"/>
      <c r="BG107" s="112"/>
      <c r="BH107" s="112"/>
      <c r="BI107" s="112"/>
    </row>
    <row r="108" ht="15.75" customHeight="1"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W108" s="112"/>
      <c r="AX108" s="112"/>
      <c r="BA108" s="112"/>
      <c r="BF108" s="112"/>
      <c r="BG108" s="112"/>
      <c r="BH108" s="112"/>
      <c r="BI108" s="112"/>
    </row>
    <row r="109" ht="15.75" customHeight="1"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W109" s="112"/>
      <c r="AX109" s="112"/>
      <c r="BA109" s="112"/>
      <c r="BF109" s="112"/>
      <c r="BG109" s="112"/>
      <c r="BH109" s="112"/>
      <c r="BI109" s="112"/>
    </row>
    <row r="110" ht="15.75" customHeight="1"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W110" s="112"/>
      <c r="AX110" s="112"/>
      <c r="BA110" s="112"/>
      <c r="BF110" s="112"/>
      <c r="BG110" s="112"/>
      <c r="BH110" s="112"/>
      <c r="BI110" s="112"/>
    </row>
    <row r="111" ht="15.75" customHeight="1"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W111" s="112"/>
      <c r="AX111" s="112"/>
      <c r="BA111" s="112"/>
      <c r="BF111" s="112"/>
      <c r="BG111" s="112"/>
      <c r="BH111" s="112"/>
      <c r="BI111" s="112"/>
    </row>
    <row r="112" ht="15.75" customHeight="1"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W112" s="112"/>
      <c r="AX112" s="112"/>
      <c r="BA112" s="112"/>
      <c r="BF112" s="112"/>
      <c r="BG112" s="112"/>
      <c r="BH112" s="112"/>
      <c r="BI112" s="112"/>
    </row>
    <row r="113" ht="15.75" customHeight="1"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W113" s="112"/>
      <c r="AX113" s="112"/>
      <c r="BA113" s="112"/>
      <c r="BF113" s="112"/>
      <c r="BG113" s="112"/>
      <c r="BH113" s="112"/>
      <c r="BI113" s="112"/>
    </row>
    <row r="114" ht="15.75" customHeight="1"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W114" s="112"/>
      <c r="AX114" s="112"/>
      <c r="BA114" s="112"/>
      <c r="BF114" s="112"/>
      <c r="BG114" s="112"/>
      <c r="BH114" s="112"/>
      <c r="BI114" s="112"/>
    </row>
    <row r="115" ht="15.75" customHeight="1"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W115" s="112"/>
      <c r="AX115" s="112"/>
      <c r="BA115" s="112"/>
      <c r="BF115" s="112"/>
      <c r="BG115" s="112"/>
      <c r="BH115" s="112"/>
      <c r="BI115" s="112"/>
    </row>
    <row r="116" ht="15.75" customHeight="1"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W116" s="112"/>
      <c r="AX116" s="112"/>
      <c r="BA116" s="112"/>
      <c r="BF116" s="112"/>
      <c r="BG116" s="112"/>
      <c r="BH116" s="112"/>
      <c r="BI116" s="112"/>
    </row>
    <row r="117" ht="15.75" customHeight="1"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W117" s="112"/>
      <c r="AX117" s="112"/>
      <c r="BA117" s="112"/>
      <c r="BF117" s="112"/>
      <c r="BG117" s="112"/>
      <c r="BH117" s="112"/>
      <c r="BI117" s="112"/>
    </row>
    <row r="118" ht="15.75" customHeight="1"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W118" s="112"/>
      <c r="AX118" s="112"/>
      <c r="BA118" s="112"/>
      <c r="BF118" s="112"/>
      <c r="BG118" s="112"/>
      <c r="BH118" s="112"/>
      <c r="BI118" s="112"/>
    </row>
    <row r="119" ht="15.75" customHeight="1"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W119" s="112"/>
      <c r="AX119" s="112"/>
      <c r="BA119" s="112"/>
      <c r="BF119" s="112"/>
      <c r="BG119" s="112"/>
      <c r="BH119" s="112"/>
      <c r="BI119" s="112"/>
    </row>
    <row r="120" ht="15.75" customHeight="1"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W120" s="112"/>
      <c r="AX120" s="112"/>
      <c r="BA120" s="112"/>
      <c r="BF120" s="112"/>
      <c r="BG120" s="112"/>
      <c r="BH120" s="112"/>
      <c r="BI120" s="112"/>
    </row>
    <row r="121" ht="15.75" customHeight="1"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W121" s="112"/>
      <c r="AX121" s="112"/>
      <c r="BA121" s="112"/>
      <c r="BF121" s="112"/>
      <c r="BG121" s="112"/>
      <c r="BH121" s="112"/>
      <c r="BI121" s="112"/>
    </row>
    <row r="122" ht="15.75" customHeight="1"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W122" s="112"/>
      <c r="AX122" s="112"/>
      <c r="BA122" s="112"/>
      <c r="BF122" s="112"/>
      <c r="BG122" s="112"/>
      <c r="BH122" s="112"/>
      <c r="BI122" s="112"/>
    </row>
    <row r="123" ht="15.75" customHeight="1"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W123" s="112"/>
      <c r="AX123" s="112"/>
      <c r="BA123" s="112"/>
      <c r="BF123" s="112"/>
      <c r="BG123" s="112"/>
      <c r="BH123" s="112"/>
      <c r="BI123" s="112"/>
    </row>
    <row r="124" ht="15.75" customHeight="1"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W124" s="112"/>
      <c r="AX124" s="112"/>
      <c r="BA124" s="112"/>
      <c r="BF124" s="112"/>
      <c r="BG124" s="112"/>
      <c r="BH124" s="112"/>
      <c r="BI124" s="112"/>
    </row>
    <row r="125" ht="15.75" customHeight="1"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W125" s="112"/>
      <c r="AX125" s="112"/>
      <c r="BA125" s="112"/>
      <c r="BF125" s="112"/>
      <c r="BG125" s="112"/>
      <c r="BH125" s="112"/>
      <c r="BI125" s="112"/>
    </row>
    <row r="126" ht="15.75" customHeight="1"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W126" s="112"/>
      <c r="AX126" s="112"/>
      <c r="BA126" s="112"/>
      <c r="BF126" s="112"/>
      <c r="BG126" s="112"/>
      <c r="BH126" s="112"/>
      <c r="BI126" s="112"/>
    </row>
    <row r="127" ht="15.75" customHeight="1"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W127" s="112"/>
      <c r="AX127" s="112"/>
      <c r="BA127" s="112"/>
      <c r="BF127" s="112"/>
      <c r="BG127" s="112"/>
      <c r="BH127" s="112"/>
      <c r="BI127" s="112"/>
    </row>
    <row r="128" ht="15.75" customHeight="1"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W128" s="112"/>
      <c r="AX128" s="112"/>
      <c r="BA128" s="112"/>
      <c r="BF128" s="112"/>
      <c r="BG128" s="112"/>
      <c r="BH128" s="112"/>
      <c r="BI128" s="112"/>
    </row>
    <row r="129" ht="15.75" customHeight="1"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W129" s="112"/>
      <c r="AX129" s="112"/>
      <c r="BA129" s="112"/>
      <c r="BF129" s="112"/>
      <c r="BG129" s="112"/>
      <c r="BH129" s="112"/>
      <c r="BI129" s="112"/>
    </row>
    <row r="130" ht="15.75" customHeight="1"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W130" s="112"/>
      <c r="AX130" s="112"/>
      <c r="BA130" s="112"/>
      <c r="BF130" s="112"/>
      <c r="BG130" s="112"/>
      <c r="BH130" s="112"/>
      <c r="BI130" s="112"/>
    </row>
    <row r="131" ht="15.75" customHeight="1"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W131" s="112"/>
      <c r="AX131" s="112"/>
      <c r="BA131" s="112"/>
      <c r="BF131" s="112"/>
      <c r="BG131" s="112"/>
      <c r="BH131" s="112"/>
      <c r="BI131" s="112"/>
    </row>
    <row r="132" ht="15.75" customHeight="1"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W132" s="112"/>
      <c r="AX132" s="112"/>
      <c r="BA132" s="112"/>
      <c r="BF132" s="112"/>
      <c r="BG132" s="112"/>
      <c r="BH132" s="112"/>
      <c r="BI132" s="112"/>
    </row>
    <row r="133" ht="15.75" customHeight="1"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W133" s="112"/>
      <c r="AX133" s="112"/>
      <c r="BA133" s="112"/>
      <c r="BF133" s="112"/>
      <c r="BG133" s="112"/>
      <c r="BH133" s="112"/>
      <c r="BI133" s="112"/>
    </row>
    <row r="134" ht="15.75" customHeight="1"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W134" s="112"/>
      <c r="AX134" s="112"/>
      <c r="BA134" s="112"/>
      <c r="BF134" s="112"/>
      <c r="BG134" s="112"/>
      <c r="BH134" s="112"/>
      <c r="BI134" s="112"/>
    </row>
    <row r="135" ht="15.75" customHeight="1"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W135" s="112"/>
      <c r="AX135" s="112"/>
      <c r="BA135" s="112"/>
      <c r="BF135" s="112"/>
      <c r="BG135" s="112"/>
      <c r="BH135" s="112"/>
      <c r="BI135" s="112"/>
    </row>
    <row r="136" ht="15.75" customHeight="1"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W136" s="112"/>
      <c r="AX136" s="112"/>
      <c r="BA136" s="112"/>
      <c r="BF136" s="112"/>
      <c r="BG136" s="112"/>
      <c r="BH136" s="112"/>
      <c r="BI136" s="112"/>
    </row>
    <row r="137" ht="15.75" customHeight="1"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W137" s="112"/>
      <c r="AX137" s="112"/>
      <c r="BA137" s="112"/>
      <c r="BF137" s="112"/>
      <c r="BG137" s="112"/>
      <c r="BH137" s="112"/>
      <c r="BI137" s="112"/>
    </row>
    <row r="138" ht="15.75" customHeight="1"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W138" s="112"/>
      <c r="AX138" s="112"/>
      <c r="BA138" s="112"/>
      <c r="BF138" s="112"/>
      <c r="BG138" s="112"/>
      <c r="BH138" s="112"/>
      <c r="BI138" s="112"/>
    </row>
    <row r="139" ht="15.75" customHeight="1"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W139" s="112"/>
      <c r="AX139" s="112"/>
      <c r="BA139" s="112"/>
      <c r="BF139" s="112"/>
      <c r="BG139" s="112"/>
      <c r="BH139" s="112"/>
      <c r="BI139" s="112"/>
    </row>
    <row r="140" ht="15.75" customHeight="1"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W140" s="112"/>
      <c r="AX140" s="112"/>
      <c r="BA140" s="112"/>
      <c r="BF140" s="112"/>
      <c r="BG140" s="112"/>
      <c r="BH140" s="112"/>
      <c r="BI140" s="112"/>
    </row>
    <row r="141" ht="15.75" customHeight="1"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W141" s="112"/>
      <c r="AX141" s="112"/>
      <c r="BA141" s="112"/>
      <c r="BF141" s="112"/>
      <c r="BG141" s="112"/>
      <c r="BH141" s="112"/>
      <c r="BI141" s="112"/>
    </row>
    <row r="142" ht="15.75" customHeight="1"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W142" s="112"/>
      <c r="AX142" s="112"/>
      <c r="BA142" s="112"/>
      <c r="BF142" s="112"/>
      <c r="BG142" s="112"/>
      <c r="BH142" s="112"/>
      <c r="BI142" s="112"/>
    </row>
    <row r="143" ht="15.75" customHeight="1"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W143" s="112"/>
      <c r="AX143" s="112"/>
      <c r="BA143" s="112"/>
      <c r="BF143" s="112"/>
      <c r="BG143" s="112"/>
      <c r="BH143" s="112"/>
      <c r="BI143" s="112"/>
    </row>
    <row r="144" ht="15.75" customHeight="1"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W144" s="112"/>
      <c r="AX144" s="112"/>
      <c r="BA144" s="112"/>
      <c r="BF144" s="112"/>
      <c r="BG144" s="112"/>
      <c r="BH144" s="112"/>
      <c r="BI144" s="112"/>
    </row>
    <row r="145" ht="15.75" customHeight="1"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W145" s="112"/>
      <c r="AX145" s="112"/>
      <c r="BA145" s="112"/>
      <c r="BF145" s="112"/>
      <c r="BG145" s="112"/>
      <c r="BH145" s="112"/>
      <c r="BI145" s="112"/>
    </row>
    <row r="146" ht="15.75" customHeight="1"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W146" s="112"/>
      <c r="AX146" s="112"/>
      <c r="BA146" s="112"/>
      <c r="BF146" s="112"/>
      <c r="BG146" s="112"/>
      <c r="BH146" s="112"/>
      <c r="BI146" s="112"/>
    </row>
    <row r="147" ht="15.75" customHeight="1"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W147" s="112"/>
      <c r="AX147" s="112"/>
      <c r="BA147" s="112"/>
      <c r="BF147" s="112"/>
      <c r="BG147" s="112"/>
      <c r="BH147" s="112"/>
      <c r="BI147" s="112"/>
    </row>
    <row r="148" ht="15.75" customHeight="1"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W148" s="112"/>
      <c r="AX148" s="112"/>
      <c r="BA148" s="112"/>
      <c r="BF148" s="112"/>
      <c r="BG148" s="112"/>
      <c r="BH148" s="112"/>
      <c r="BI148" s="112"/>
    </row>
    <row r="149" ht="15.75" customHeight="1"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W149" s="112"/>
      <c r="AX149" s="112"/>
      <c r="BA149" s="112"/>
      <c r="BF149" s="112"/>
      <c r="BG149" s="112"/>
      <c r="BH149" s="112"/>
      <c r="BI149" s="112"/>
    </row>
    <row r="150" ht="15.75" customHeight="1"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W150" s="112"/>
      <c r="AX150" s="112"/>
      <c r="BA150" s="112"/>
      <c r="BF150" s="112"/>
      <c r="BG150" s="112"/>
      <c r="BH150" s="112"/>
      <c r="BI150" s="112"/>
    </row>
    <row r="151" ht="15.75" customHeight="1"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W151" s="112"/>
      <c r="AX151" s="112"/>
      <c r="BA151" s="112"/>
      <c r="BF151" s="112"/>
      <c r="BG151" s="112"/>
      <c r="BH151" s="112"/>
      <c r="BI151" s="112"/>
    </row>
    <row r="152" ht="15.75" customHeight="1"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W152" s="112"/>
      <c r="AX152" s="112"/>
      <c r="BA152" s="112"/>
      <c r="BF152" s="112"/>
      <c r="BG152" s="112"/>
      <c r="BH152" s="112"/>
      <c r="BI152" s="112"/>
    </row>
    <row r="153" ht="15.75" customHeight="1"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W153" s="112"/>
      <c r="AX153" s="112"/>
      <c r="BA153" s="112"/>
      <c r="BF153" s="112"/>
      <c r="BG153" s="112"/>
      <c r="BH153" s="112"/>
      <c r="BI153" s="112"/>
    </row>
    <row r="154" ht="15.75" customHeight="1"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W154" s="112"/>
      <c r="AX154" s="112"/>
      <c r="BA154" s="112"/>
      <c r="BF154" s="112"/>
      <c r="BG154" s="112"/>
      <c r="BH154" s="112"/>
      <c r="BI154" s="112"/>
    </row>
    <row r="155" ht="15.75" customHeight="1"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W155" s="112"/>
      <c r="AX155" s="112"/>
      <c r="BA155" s="112"/>
      <c r="BF155" s="112"/>
      <c r="BG155" s="112"/>
      <c r="BH155" s="112"/>
      <c r="BI155" s="112"/>
    </row>
    <row r="156" ht="15.75" customHeight="1"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W156" s="112"/>
      <c r="AX156" s="112"/>
      <c r="BA156" s="112"/>
      <c r="BF156" s="112"/>
      <c r="BG156" s="112"/>
      <c r="BH156" s="112"/>
      <c r="BI156" s="112"/>
    </row>
    <row r="157" ht="15.75" customHeight="1"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W157" s="112"/>
      <c r="AX157" s="112"/>
      <c r="BA157" s="112"/>
      <c r="BF157" s="112"/>
      <c r="BG157" s="112"/>
      <c r="BH157" s="112"/>
      <c r="BI157" s="112"/>
    </row>
    <row r="158" ht="15.75" customHeight="1"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W158" s="112"/>
      <c r="AX158" s="112"/>
      <c r="BA158" s="112"/>
      <c r="BF158" s="112"/>
      <c r="BG158" s="112"/>
      <c r="BH158" s="112"/>
      <c r="BI158" s="112"/>
    </row>
    <row r="159" ht="15.75" customHeight="1"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W159" s="112"/>
      <c r="AX159" s="112"/>
      <c r="BA159" s="112"/>
      <c r="BF159" s="112"/>
      <c r="BG159" s="112"/>
      <c r="BH159" s="112"/>
      <c r="BI159" s="112"/>
    </row>
    <row r="160" ht="15.75" customHeight="1"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W160" s="112"/>
      <c r="AX160" s="112"/>
      <c r="BA160" s="112"/>
      <c r="BF160" s="112"/>
      <c r="BG160" s="112"/>
      <c r="BH160" s="112"/>
      <c r="BI160" s="112"/>
    </row>
    <row r="161" ht="15.75" customHeight="1"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W161" s="112"/>
      <c r="AX161" s="112"/>
      <c r="BA161" s="112"/>
      <c r="BF161" s="112"/>
      <c r="BG161" s="112"/>
      <c r="BH161" s="112"/>
      <c r="BI161" s="112"/>
    </row>
    <row r="162" ht="15.75" customHeight="1"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W162" s="112"/>
      <c r="AX162" s="112"/>
      <c r="BA162" s="112"/>
      <c r="BF162" s="112"/>
      <c r="BG162" s="112"/>
      <c r="BH162" s="112"/>
      <c r="BI162" s="112"/>
    </row>
    <row r="163" ht="15.75" customHeight="1"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W163" s="112"/>
      <c r="AX163" s="112"/>
      <c r="BA163" s="112"/>
      <c r="BF163" s="112"/>
      <c r="BG163" s="112"/>
      <c r="BH163" s="112"/>
      <c r="BI163" s="112"/>
    </row>
    <row r="164" ht="15.75" customHeight="1"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W164" s="112"/>
      <c r="AX164" s="112"/>
      <c r="BA164" s="112"/>
      <c r="BF164" s="112"/>
      <c r="BG164" s="112"/>
      <c r="BH164" s="112"/>
      <c r="BI164" s="112"/>
    </row>
    <row r="165" ht="15.75" customHeight="1"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W165" s="112"/>
      <c r="AX165" s="112"/>
      <c r="BA165" s="112"/>
      <c r="BF165" s="112"/>
      <c r="BG165" s="112"/>
      <c r="BH165" s="112"/>
      <c r="BI165" s="112"/>
    </row>
    <row r="166" ht="15.75" customHeight="1"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W166" s="112"/>
      <c r="AX166" s="112"/>
      <c r="BA166" s="112"/>
      <c r="BF166" s="112"/>
      <c r="BG166" s="112"/>
      <c r="BH166" s="112"/>
      <c r="BI166" s="112"/>
    </row>
    <row r="167" ht="15.75" customHeight="1"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W167" s="112"/>
      <c r="AX167" s="112"/>
      <c r="BA167" s="112"/>
      <c r="BF167" s="112"/>
      <c r="BG167" s="112"/>
      <c r="BH167" s="112"/>
      <c r="BI167" s="112"/>
    </row>
    <row r="168" ht="15.75" customHeight="1"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W168" s="112"/>
      <c r="AX168" s="112"/>
      <c r="BA168" s="112"/>
      <c r="BF168" s="112"/>
      <c r="BG168" s="112"/>
      <c r="BH168" s="112"/>
      <c r="BI168" s="112"/>
    </row>
    <row r="169" ht="15.75" customHeight="1"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W169" s="112"/>
      <c r="AX169" s="112"/>
      <c r="BA169" s="112"/>
      <c r="BF169" s="112"/>
      <c r="BG169" s="112"/>
      <c r="BH169" s="112"/>
      <c r="BI169" s="112"/>
    </row>
    <row r="170" ht="15.75" customHeight="1"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W170" s="112"/>
      <c r="AX170" s="112"/>
      <c r="BA170" s="112"/>
      <c r="BF170" s="112"/>
      <c r="BG170" s="112"/>
      <c r="BH170" s="112"/>
      <c r="BI170" s="112"/>
    </row>
    <row r="171" ht="15.75" customHeight="1"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W171" s="112"/>
      <c r="AX171" s="112"/>
      <c r="BA171" s="112"/>
      <c r="BF171" s="112"/>
      <c r="BG171" s="112"/>
      <c r="BH171" s="112"/>
      <c r="BI171" s="112"/>
    </row>
    <row r="172" ht="15.75" customHeight="1"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W172" s="112"/>
      <c r="AX172" s="112"/>
      <c r="BA172" s="112"/>
      <c r="BF172" s="112"/>
      <c r="BG172" s="112"/>
      <c r="BH172" s="112"/>
      <c r="BI172" s="112"/>
    </row>
    <row r="173" ht="15.75" customHeight="1"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W173" s="112"/>
      <c r="AX173" s="112"/>
      <c r="BA173" s="112"/>
      <c r="BF173" s="112"/>
      <c r="BG173" s="112"/>
      <c r="BH173" s="112"/>
      <c r="BI173" s="112"/>
    </row>
    <row r="174" ht="15.75" customHeight="1"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W174" s="112"/>
      <c r="AX174" s="112"/>
      <c r="BA174" s="112"/>
      <c r="BF174" s="112"/>
      <c r="BG174" s="112"/>
      <c r="BH174" s="112"/>
      <c r="BI174" s="112"/>
    </row>
    <row r="175" ht="15.75" customHeight="1"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W175" s="112"/>
      <c r="AX175" s="112"/>
      <c r="BA175" s="112"/>
      <c r="BF175" s="112"/>
      <c r="BG175" s="112"/>
      <c r="BH175" s="112"/>
      <c r="BI175" s="112"/>
    </row>
    <row r="176" ht="15.75" customHeight="1"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W176" s="112"/>
      <c r="AX176" s="112"/>
      <c r="BA176" s="112"/>
      <c r="BF176" s="112"/>
      <c r="BG176" s="112"/>
      <c r="BH176" s="112"/>
      <c r="BI176" s="112"/>
    </row>
    <row r="177" ht="15.75" customHeight="1"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W177" s="112"/>
      <c r="AX177" s="112"/>
      <c r="BA177" s="112"/>
      <c r="BF177" s="112"/>
      <c r="BG177" s="112"/>
      <c r="BH177" s="112"/>
      <c r="BI177" s="112"/>
    </row>
    <row r="178" ht="15.75" customHeight="1"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W178" s="112"/>
      <c r="AX178" s="112"/>
      <c r="BA178" s="112"/>
      <c r="BF178" s="112"/>
      <c r="BG178" s="112"/>
      <c r="BH178" s="112"/>
      <c r="BI178" s="112"/>
    </row>
    <row r="179" ht="15.75" customHeight="1"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W179" s="112"/>
      <c r="AX179" s="112"/>
      <c r="BA179" s="112"/>
      <c r="BF179" s="112"/>
      <c r="BG179" s="112"/>
      <c r="BH179" s="112"/>
      <c r="BI179" s="112"/>
    </row>
    <row r="180" ht="15.75" customHeight="1"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W180" s="112"/>
      <c r="AX180" s="112"/>
      <c r="BA180" s="112"/>
      <c r="BF180" s="112"/>
      <c r="BG180" s="112"/>
      <c r="BH180" s="112"/>
      <c r="BI180" s="112"/>
    </row>
    <row r="181" ht="15.75" customHeight="1"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W181" s="112"/>
      <c r="AX181" s="112"/>
      <c r="BA181" s="112"/>
      <c r="BF181" s="112"/>
      <c r="BG181" s="112"/>
      <c r="BH181" s="112"/>
      <c r="BI181" s="112"/>
    </row>
    <row r="182" ht="15.75" customHeight="1"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W182" s="112"/>
      <c r="AX182" s="112"/>
      <c r="BA182" s="112"/>
      <c r="BF182" s="112"/>
      <c r="BG182" s="112"/>
      <c r="BH182" s="112"/>
      <c r="BI182" s="112"/>
    </row>
    <row r="183" ht="15.75" customHeight="1"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W183" s="112"/>
      <c r="AX183" s="112"/>
      <c r="BA183" s="112"/>
      <c r="BF183" s="112"/>
      <c r="BG183" s="112"/>
      <c r="BH183" s="112"/>
      <c r="BI183" s="112"/>
    </row>
    <row r="184" ht="15.75" customHeight="1"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W184" s="112"/>
      <c r="AX184" s="112"/>
      <c r="BA184" s="112"/>
      <c r="BF184" s="112"/>
      <c r="BG184" s="112"/>
      <c r="BH184" s="112"/>
      <c r="BI184" s="112"/>
    </row>
    <row r="185" ht="15.75" customHeight="1"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W185" s="112"/>
      <c r="AX185" s="112"/>
      <c r="BA185" s="112"/>
      <c r="BF185" s="112"/>
      <c r="BG185" s="112"/>
      <c r="BH185" s="112"/>
      <c r="BI185" s="112"/>
    </row>
    <row r="186" ht="15.75" customHeight="1"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W186" s="112"/>
      <c r="AX186" s="112"/>
      <c r="BA186" s="112"/>
      <c r="BF186" s="112"/>
      <c r="BG186" s="112"/>
      <c r="BH186" s="112"/>
      <c r="BI186" s="112"/>
    </row>
    <row r="187" ht="15.75" customHeight="1"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W187" s="112"/>
      <c r="AX187" s="112"/>
      <c r="BA187" s="112"/>
      <c r="BF187" s="112"/>
      <c r="BG187" s="112"/>
      <c r="BH187" s="112"/>
      <c r="BI187" s="112"/>
    </row>
    <row r="188" ht="15.75" customHeight="1"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W188" s="112"/>
      <c r="AX188" s="112"/>
      <c r="BA188" s="112"/>
      <c r="BF188" s="112"/>
      <c r="BG188" s="112"/>
      <c r="BH188" s="112"/>
      <c r="BI188" s="112"/>
    </row>
    <row r="189" ht="15.75" customHeight="1"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W189" s="112"/>
      <c r="AX189" s="112"/>
      <c r="BA189" s="112"/>
      <c r="BF189" s="112"/>
      <c r="BG189" s="112"/>
      <c r="BH189" s="112"/>
      <c r="BI189" s="112"/>
    </row>
    <row r="190" ht="15.75" customHeight="1"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W190" s="112"/>
      <c r="AX190" s="112"/>
      <c r="BA190" s="112"/>
      <c r="BF190" s="112"/>
      <c r="BG190" s="112"/>
      <c r="BH190" s="112"/>
      <c r="BI190" s="112"/>
    </row>
    <row r="191" ht="15.75" customHeight="1"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W191" s="112"/>
      <c r="AX191" s="112"/>
      <c r="BA191" s="112"/>
      <c r="BF191" s="112"/>
      <c r="BG191" s="112"/>
      <c r="BH191" s="112"/>
      <c r="BI191" s="112"/>
    </row>
    <row r="192" ht="15.75" customHeight="1"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W192" s="112"/>
      <c r="AX192" s="112"/>
      <c r="BA192" s="112"/>
      <c r="BF192" s="112"/>
      <c r="BG192" s="112"/>
      <c r="BH192" s="112"/>
      <c r="BI192" s="112"/>
    </row>
    <row r="193" ht="15.75" customHeight="1"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W193" s="112"/>
      <c r="AX193" s="112"/>
      <c r="BA193" s="112"/>
      <c r="BF193" s="112"/>
      <c r="BG193" s="112"/>
      <c r="BH193" s="112"/>
      <c r="BI193" s="112"/>
    </row>
    <row r="194" ht="15.75" customHeight="1"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W194" s="112"/>
      <c r="AX194" s="112"/>
      <c r="BA194" s="112"/>
      <c r="BF194" s="112"/>
      <c r="BG194" s="112"/>
      <c r="BH194" s="112"/>
      <c r="BI194" s="112"/>
    </row>
    <row r="195" ht="15.75" customHeight="1"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W195" s="112"/>
      <c r="AX195" s="112"/>
      <c r="BA195" s="112"/>
      <c r="BF195" s="112"/>
      <c r="BG195" s="112"/>
      <c r="BH195" s="112"/>
      <c r="BI195" s="112"/>
    </row>
    <row r="196" ht="15.75" customHeight="1"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W196" s="112"/>
      <c r="AX196" s="112"/>
      <c r="BA196" s="112"/>
      <c r="BF196" s="112"/>
      <c r="BG196" s="112"/>
      <c r="BH196" s="112"/>
      <c r="BI196" s="112"/>
    </row>
    <row r="197" ht="15.75" customHeight="1"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W197" s="112"/>
      <c r="AX197" s="112"/>
      <c r="BA197" s="112"/>
      <c r="BF197" s="112"/>
      <c r="BG197" s="112"/>
      <c r="BH197" s="112"/>
      <c r="BI197" s="112"/>
    </row>
    <row r="198" ht="15.75" customHeight="1"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W198" s="112"/>
      <c r="AX198" s="112"/>
      <c r="BA198" s="112"/>
      <c r="BF198" s="112"/>
      <c r="BG198" s="112"/>
      <c r="BH198" s="112"/>
      <c r="BI198" s="112"/>
    </row>
    <row r="199" ht="15.75" customHeight="1"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W199" s="112"/>
      <c r="AX199" s="112"/>
      <c r="BA199" s="112"/>
      <c r="BF199" s="112"/>
      <c r="BG199" s="112"/>
      <c r="BH199" s="112"/>
      <c r="BI199" s="112"/>
    </row>
    <row r="200" ht="15.75" customHeight="1"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W200" s="112"/>
      <c r="AX200" s="112"/>
      <c r="BA200" s="112"/>
      <c r="BF200" s="112"/>
      <c r="BG200" s="112"/>
      <c r="BH200" s="112"/>
      <c r="BI200" s="112"/>
    </row>
    <row r="201" ht="15.75" customHeight="1"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W201" s="112"/>
      <c r="AX201" s="112"/>
      <c r="BA201" s="112"/>
      <c r="BF201" s="112"/>
      <c r="BG201" s="112"/>
      <c r="BH201" s="112"/>
      <c r="BI201" s="112"/>
    </row>
    <row r="202" ht="15.75" customHeight="1"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W202" s="112"/>
      <c r="AX202" s="112"/>
      <c r="BA202" s="112"/>
      <c r="BF202" s="112"/>
      <c r="BG202" s="112"/>
      <c r="BH202" s="112"/>
      <c r="BI202" s="112"/>
    </row>
    <row r="203" ht="15.75" customHeight="1"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W203" s="112"/>
      <c r="AX203" s="112"/>
      <c r="BA203" s="112"/>
      <c r="BF203" s="112"/>
      <c r="BG203" s="112"/>
      <c r="BH203" s="112"/>
      <c r="BI203" s="112"/>
    </row>
    <row r="204" ht="15.75" customHeight="1"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W204" s="112"/>
      <c r="AX204" s="112"/>
      <c r="BA204" s="112"/>
      <c r="BF204" s="112"/>
      <c r="BG204" s="112"/>
      <c r="BH204" s="112"/>
      <c r="BI204" s="112"/>
    </row>
    <row r="205" ht="15.75" customHeight="1"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W205" s="112"/>
      <c r="AX205" s="112"/>
      <c r="BA205" s="112"/>
      <c r="BF205" s="112"/>
      <c r="BG205" s="112"/>
      <c r="BH205" s="112"/>
      <c r="BI205" s="112"/>
    </row>
    <row r="206" ht="15.75" customHeight="1"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W206" s="112"/>
      <c r="AX206" s="112"/>
      <c r="BA206" s="112"/>
      <c r="BF206" s="112"/>
      <c r="BG206" s="112"/>
      <c r="BH206" s="112"/>
      <c r="BI206" s="112"/>
    </row>
    <row r="207" ht="15.75" customHeight="1"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W207" s="112"/>
      <c r="AX207" s="112"/>
      <c r="BA207" s="112"/>
      <c r="BF207" s="112"/>
      <c r="BG207" s="112"/>
      <c r="BH207" s="112"/>
      <c r="BI207" s="112"/>
    </row>
    <row r="208" ht="15.75" customHeight="1"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W208" s="112"/>
      <c r="AX208" s="112"/>
      <c r="BA208" s="112"/>
      <c r="BF208" s="112"/>
      <c r="BG208" s="112"/>
      <c r="BH208" s="112"/>
      <c r="BI208" s="112"/>
    </row>
    <row r="209" ht="15.75" customHeight="1"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W209" s="112"/>
      <c r="AX209" s="112"/>
      <c r="BA209" s="112"/>
      <c r="BF209" s="112"/>
      <c r="BG209" s="112"/>
      <c r="BH209" s="112"/>
      <c r="BI209" s="112"/>
    </row>
    <row r="210" ht="15.75" customHeight="1"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W210" s="112"/>
      <c r="AX210" s="112"/>
      <c r="BA210" s="112"/>
      <c r="BF210" s="112"/>
      <c r="BG210" s="112"/>
      <c r="BH210" s="112"/>
      <c r="BI210" s="112"/>
    </row>
    <row r="211" ht="15.75" customHeight="1"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W211" s="112"/>
      <c r="AX211" s="112"/>
      <c r="BA211" s="112"/>
      <c r="BF211" s="112"/>
      <c r="BG211" s="112"/>
      <c r="BH211" s="112"/>
      <c r="BI211" s="112"/>
    </row>
    <row r="212" ht="15.75" customHeight="1"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W212" s="112"/>
      <c r="AX212" s="112"/>
      <c r="BA212" s="112"/>
      <c r="BF212" s="112"/>
      <c r="BG212" s="112"/>
      <c r="BH212" s="112"/>
      <c r="BI212" s="112"/>
    </row>
    <row r="213" ht="15.75" customHeight="1"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W213" s="112"/>
      <c r="AX213" s="112"/>
      <c r="BA213" s="112"/>
      <c r="BF213" s="112"/>
      <c r="BG213" s="112"/>
      <c r="BH213" s="112"/>
      <c r="BI213" s="112"/>
    </row>
    <row r="214" ht="15.75" customHeight="1"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W214" s="112"/>
      <c r="AX214" s="112"/>
      <c r="BA214" s="112"/>
      <c r="BF214" s="112"/>
      <c r="BG214" s="112"/>
      <c r="BH214" s="112"/>
      <c r="BI214" s="112"/>
    </row>
    <row r="215" ht="15.75" customHeight="1"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W215" s="112"/>
      <c r="AX215" s="112"/>
      <c r="BA215" s="112"/>
      <c r="BF215" s="112"/>
      <c r="BG215" s="112"/>
      <c r="BH215" s="112"/>
      <c r="BI215" s="112"/>
    </row>
    <row r="216" ht="15.75" customHeight="1"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W216" s="112"/>
      <c r="AX216" s="112"/>
      <c r="BA216" s="112"/>
      <c r="BF216" s="112"/>
      <c r="BG216" s="112"/>
      <c r="BH216" s="112"/>
      <c r="BI216" s="112"/>
    </row>
    <row r="217" ht="15.75" customHeight="1"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W217" s="112"/>
      <c r="AX217" s="112"/>
      <c r="BA217" s="112"/>
      <c r="BF217" s="112"/>
      <c r="BG217" s="112"/>
      <c r="BH217" s="112"/>
      <c r="BI217" s="112"/>
    </row>
    <row r="218" ht="15.75" customHeight="1"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W218" s="112"/>
      <c r="AX218" s="112"/>
      <c r="BA218" s="112"/>
      <c r="BF218" s="112"/>
      <c r="BG218" s="112"/>
      <c r="BH218" s="112"/>
      <c r="BI218" s="112"/>
    </row>
    <row r="219" ht="15.75" customHeight="1"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W219" s="112"/>
      <c r="AX219" s="112"/>
      <c r="BA219" s="112"/>
      <c r="BF219" s="112"/>
      <c r="BG219" s="112"/>
      <c r="BH219" s="112"/>
      <c r="BI219" s="112"/>
    </row>
    <row r="220" ht="15.75" customHeight="1"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W220" s="112"/>
      <c r="AX220" s="112"/>
      <c r="BA220" s="112"/>
      <c r="BF220" s="112"/>
      <c r="BG220" s="112"/>
      <c r="BH220" s="112"/>
      <c r="BI220" s="112"/>
    </row>
    <row r="221" ht="15.75" customHeight="1"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W221" s="112"/>
      <c r="AX221" s="112"/>
      <c r="BA221" s="112"/>
      <c r="BF221" s="112"/>
      <c r="BG221" s="112"/>
      <c r="BH221" s="112"/>
      <c r="BI221" s="112"/>
    </row>
    <row r="222" ht="15.75" customHeight="1"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W222" s="112"/>
      <c r="AX222" s="112"/>
      <c r="BA222" s="112"/>
      <c r="BF222" s="112"/>
      <c r="BG222" s="112"/>
      <c r="BH222" s="112"/>
      <c r="BI222" s="112"/>
    </row>
    <row r="223" ht="15.75" customHeight="1"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W223" s="112"/>
      <c r="AX223" s="112"/>
      <c r="BA223" s="112"/>
      <c r="BF223" s="112"/>
      <c r="BG223" s="112"/>
      <c r="BH223" s="112"/>
      <c r="BI223" s="112"/>
    </row>
    <row r="224" ht="15.75" customHeight="1"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W224" s="112"/>
      <c r="AX224" s="112"/>
      <c r="BA224" s="112"/>
      <c r="BF224" s="112"/>
      <c r="BG224" s="112"/>
      <c r="BH224" s="112"/>
      <c r="BI224" s="112"/>
    </row>
    <row r="225" ht="15.75" customHeight="1"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W225" s="112"/>
      <c r="AX225" s="112"/>
      <c r="BA225" s="112"/>
      <c r="BF225" s="112"/>
      <c r="BG225" s="112"/>
      <c r="BH225" s="112"/>
      <c r="BI225" s="112"/>
    </row>
    <row r="226" ht="15.75" customHeight="1"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W226" s="112"/>
      <c r="AX226" s="112"/>
      <c r="BA226" s="112"/>
      <c r="BF226" s="112"/>
      <c r="BG226" s="112"/>
      <c r="BH226" s="112"/>
      <c r="BI226" s="112"/>
    </row>
    <row r="227" ht="15.75" customHeight="1"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W227" s="112"/>
      <c r="AX227" s="112"/>
      <c r="BA227" s="112"/>
      <c r="BF227" s="112"/>
      <c r="BG227" s="112"/>
      <c r="BH227" s="112"/>
      <c r="BI227" s="112"/>
    </row>
    <row r="228" ht="15.75" customHeight="1"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W228" s="112"/>
      <c r="AX228" s="112"/>
      <c r="BA228" s="112"/>
      <c r="BF228" s="112"/>
      <c r="BG228" s="112"/>
      <c r="BH228" s="112"/>
      <c r="BI228" s="112"/>
    </row>
    <row r="229" ht="15.75" customHeight="1"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W229" s="112"/>
      <c r="AX229" s="112"/>
      <c r="BA229" s="112"/>
      <c r="BF229" s="112"/>
      <c r="BG229" s="112"/>
      <c r="BH229" s="112"/>
      <c r="BI229" s="112"/>
    </row>
    <row r="230" ht="15.75" customHeight="1"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W230" s="112"/>
      <c r="AX230" s="112"/>
      <c r="BA230" s="112"/>
      <c r="BF230" s="112"/>
      <c r="BG230" s="112"/>
      <c r="BH230" s="112"/>
      <c r="BI230" s="112"/>
    </row>
    <row r="231" ht="15.75" customHeight="1"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W231" s="112"/>
      <c r="AX231" s="112"/>
      <c r="BA231" s="112"/>
      <c r="BF231" s="112"/>
      <c r="BG231" s="112"/>
      <c r="BH231" s="112"/>
      <c r="BI231" s="112"/>
    </row>
    <row r="232" ht="15.75" customHeight="1"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W232" s="112"/>
      <c r="AX232" s="112"/>
      <c r="BA232" s="112"/>
      <c r="BF232" s="112"/>
      <c r="BG232" s="112"/>
      <c r="BH232" s="112"/>
      <c r="BI232" s="112"/>
    </row>
    <row r="233" ht="15.75" customHeight="1"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W233" s="112"/>
      <c r="AX233" s="112"/>
      <c r="BA233" s="112"/>
      <c r="BF233" s="112"/>
      <c r="BG233" s="112"/>
      <c r="BH233" s="112"/>
      <c r="BI233" s="112"/>
    </row>
    <row r="234" ht="15.75" customHeight="1"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W234" s="112"/>
      <c r="AX234" s="112"/>
      <c r="BA234" s="112"/>
      <c r="BF234" s="112"/>
      <c r="BG234" s="112"/>
      <c r="BH234" s="112"/>
      <c r="BI234" s="112"/>
    </row>
    <row r="235" ht="15.75" customHeight="1"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W235" s="112"/>
      <c r="AX235" s="112"/>
      <c r="BA235" s="112"/>
      <c r="BF235" s="112"/>
      <c r="BG235" s="112"/>
      <c r="BH235" s="112"/>
      <c r="BI235" s="112"/>
    </row>
    <row r="236" ht="15.75" customHeight="1"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W236" s="112"/>
      <c r="AX236" s="112"/>
      <c r="BA236" s="112"/>
      <c r="BF236" s="112"/>
      <c r="BG236" s="112"/>
      <c r="BH236" s="112"/>
      <c r="BI236" s="112"/>
    </row>
    <row r="237" ht="15.75" customHeight="1"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W237" s="112"/>
      <c r="AX237" s="112"/>
      <c r="BA237" s="112"/>
      <c r="BF237" s="112"/>
      <c r="BG237" s="112"/>
      <c r="BH237" s="112"/>
      <c r="BI237" s="112"/>
    </row>
    <row r="238" ht="15.75" customHeight="1"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W238" s="112"/>
      <c r="AX238" s="112"/>
      <c r="BA238" s="112"/>
      <c r="BF238" s="112"/>
      <c r="BG238" s="112"/>
      <c r="BH238" s="112"/>
      <c r="BI238" s="112"/>
    </row>
    <row r="239" ht="15.75" customHeight="1"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W239" s="112"/>
      <c r="AX239" s="112"/>
      <c r="BA239" s="112"/>
      <c r="BF239" s="112"/>
      <c r="BG239" s="112"/>
      <c r="BH239" s="112"/>
      <c r="BI239" s="112"/>
    </row>
    <row r="240" ht="15.75" customHeight="1"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W240" s="112"/>
      <c r="AX240" s="112"/>
      <c r="BA240" s="112"/>
      <c r="BF240" s="112"/>
      <c r="BG240" s="112"/>
      <c r="BH240" s="112"/>
      <c r="BI240" s="112"/>
    </row>
    <row r="241" ht="15.75" customHeight="1"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W241" s="112"/>
      <c r="AX241" s="112"/>
      <c r="BA241" s="112"/>
      <c r="BF241" s="112"/>
      <c r="BG241" s="112"/>
      <c r="BH241" s="112"/>
      <c r="BI241" s="112"/>
    </row>
    <row r="242" ht="15.75" customHeight="1"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W242" s="112"/>
      <c r="AX242" s="112"/>
      <c r="BA242" s="112"/>
      <c r="BF242" s="112"/>
      <c r="BG242" s="112"/>
      <c r="BH242" s="112"/>
      <c r="BI242" s="112"/>
    </row>
    <row r="243" ht="15.75" customHeight="1"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W243" s="112"/>
      <c r="AX243" s="112"/>
      <c r="BA243" s="112"/>
      <c r="BF243" s="112"/>
      <c r="BG243" s="112"/>
      <c r="BH243" s="112"/>
      <c r="BI243" s="112"/>
    </row>
    <row r="244" ht="15.75" customHeight="1"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W244" s="112"/>
      <c r="AX244" s="112"/>
      <c r="BA244" s="112"/>
      <c r="BF244" s="112"/>
      <c r="BG244" s="112"/>
      <c r="BH244" s="112"/>
      <c r="BI244" s="112"/>
    </row>
    <row r="245" ht="15.75" customHeight="1"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W245" s="112"/>
      <c r="AX245" s="112"/>
      <c r="BA245" s="112"/>
      <c r="BF245" s="112"/>
      <c r="BG245" s="112"/>
      <c r="BH245" s="112"/>
      <c r="BI245" s="112"/>
    </row>
    <row r="246" ht="15.75" customHeight="1"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W246" s="112"/>
      <c r="AX246" s="112"/>
      <c r="BA246" s="112"/>
      <c r="BF246" s="112"/>
      <c r="BG246" s="112"/>
      <c r="BH246" s="112"/>
      <c r="BI246" s="112"/>
    </row>
    <row r="247" ht="15.75" customHeight="1"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W247" s="112"/>
      <c r="AX247" s="112"/>
      <c r="BA247" s="112"/>
      <c r="BF247" s="112"/>
      <c r="BG247" s="112"/>
      <c r="BH247" s="112"/>
      <c r="BI247" s="112"/>
    </row>
    <row r="248" ht="15.75" customHeight="1"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W248" s="112"/>
      <c r="AX248" s="112"/>
      <c r="BA248" s="112"/>
      <c r="BF248" s="112"/>
      <c r="BG248" s="112"/>
      <c r="BH248" s="112"/>
      <c r="BI248" s="112"/>
    </row>
    <row r="249" ht="15.75" customHeight="1"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W249" s="112"/>
      <c r="AX249" s="112"/>
      <c r="BA249" s="112"/>
      <c r="BF249" s="112"/>
      <c r="BG249" s="112"/>
      <c r="BH249" s="112"/>
      <c r="BI249" s="112"/>
    </row>
    <row r="250" ht="15.75" customHeight="1"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W250" s="112"/>
      <c r="AX250" s="112"/>
      <c r="BA250" s="112"/>
      <c r="BF250" s="112"/>
      <c r="BG250" s="112"/>
      <c r="BH250" s="112"/>
      <c r="BI250" s="112"/>
    </row>
    <row r="251" ht="15.75" customHeight="1"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W251" s="112"/>
      <c r="AX251" s="112"/>
      <c r="BA251" s="112"/>
      <c r="BF251" s="112"/>
      <c r="BG251" s="112"/>
      <c r="BH251" s="112"/>
      <c r="BI251" s="112"/>
    </row>
    <row r="252" ht="15.75" customHeight="1"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W252" s="112"/>
      <c r="AX252" s="112"/>
      <c r="BA252" s="112"/>
      <c r="BF252" s="112"/>
      <c r="BG252" s="112"/>
      <c r="BH252" s="112"/>
      <c r="BI252" s="112"/>
    </row>
    <row r="253" ht="15.75" customHeight="1"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W253" s="112"/>
      <c r="AX253" s="112"/>
      <c r="BA253" s="112"/>
      <c r="BF253" s="112"/>
      <c r="BG253" s="112"/>
      <c r="BH253" s="112"/>
      <c r="BI253" s="112"/>
    </row>
    <row r="254" ht="15.75" customHeight="1"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W254" s="112"/>
      <c r="AX254" s="112"/>
      <c r="BA254" s="112"/>
      <c r="BF254" s="112"/>
      <c r="BG254" s="112"/>
      <c r="BH254" s="112"/>
      <c r="BI254" s="112"/>
    </row>
    <row r="255" ht="15.75" customHeight="1"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W255" s="112"/>
      <c r="AX255" s="112"/>
      <c r="BA255" s="112"/>
      <c r="BF255" s="112"/>
      <c r="BG255" s="112"/>
      <c r="BH255" s="112"/>
      <c r="BI255" s="112"/>
    </row>
    <row r="256" ht="15.75" customHeight="1"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W256" s="112"/>
      <c r="AX256" s="112"/>
      <c r="BA256" s="112"/>
      <c r="BF256" s="112"/>
      <c r="BG256" s="112"/>
      <c r="BH256" s="112"/>
      <c r="BI256" s="112"/>
    </row>
    <row r="257" ht="15.75" customHeight="1"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W257" s="112"/>
      <c r="AX257" s="112"/>
      <c r="BA257" s="112"/>
      <c r="BF257" s="112"/>
      <c r="BG257" s="112"/>
      <c r="BH257" s="112"/>
      <c r="BI257" s="112"/>
    </row>
    <row r="258" ht="15.75" customHeight="1"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W258" s="112"/>
      <c r="AX258" s="112"/>
      <c r="BA258" s="112"/>
      <c r="BF258" s="112"/>
      <c r="BG258" s="112"/>
      <c r="BH258" s="112"/>
      <c r="BI258" s="112"/>
    </row>
    <row r="259" ht="15.75" customHeight="1"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W259" s="112"/>
      <c r="AX259" s="112"/>
      <c r="BA259" s="112"/>
      <c r="BF259" s="112"/>
      <c r="BG259" s="112"/>
      <c r="BH259" s="112"/>
      <c r="BI259" s="112"/>
    </row>
    <row r="260" ht="15.75" customHeight="1"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W260" s="112"/>
      <c r="AX260" s="112"/>
      <c r="BA260" s="112"/>
      <c r="BF260" s="112"/>
      <c r="BG260" s="112"/>
      <c r="BH260" s="112"/>
      <c r="BI260" s="112"/>
    </row>
    <row r="261" ht="15.75" customHeight="1"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W261" s="112"/>
      <c r="AX261" s="112"/>
      <c r="BA261" s="112"/>
      <c r="BF261" s="112"/>
      <c r="BG261" s="112"/>
      <c r="BH261" s="112"/>
      <c r="BI261" s="112"/>
    </row>
    <row r="262" ht="15.75" customHeight="1"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W262" s="112"/>
      <c r="AX262" s="112"/>
      <c r="BA262" s="112"/>
      <c r="BF262" s="112"/>
      <c r="BG262" s="112"/>
      <c r="BH262" s="112"/>
      <c r="BI262" s="112"/>
    </row>
    <row r="263" ht="15.75" customHeight="1"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W263" s="112"/>
      <c r="AX263" s="112"/>
      <c r="BA263" s="112"/>
      <c r="BF263" s="112"/>
      <c r="BG263" s="112"/>
      <c r="BH263" s="112"/>
      <c r="BI263" s="112"/>
    </row>
    <row r="264" ht="15.75" customHeight="1"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W264" s="112"/>
      <c r="AX264" s="112"/>
      <c r="BA264" s="112"/>
      <c r="BF264" s="112"/>
      <c r="BG264" s="112"/>
      <c r="BH264" s="112"/>
      <c r="BI264" s="112"/>
    </row>
    <row r="265" ht="15.75" customHeight="1"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W265" s="112"/>
      <c r="AX265" s="112"/>
      <c r="BA265" s="112"/>
      <c r="BF265" s="112"/>
      <c r="BG265" s="112"/>
      <c r="BH265" s="112"/>
      <c r="BI265" s="112"/>
    </row>
    <row r="266" ht="15.75" customHeight="1"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W266" s="112"/>
      <c r="AX266" s="112"/>
      <c r="BA266" s="112"/>
      <c r="BF266" s="112"/>
      <c r="BG266" s="112"/>
      <c r="BH266" s="112"/>
      <c r="BI266" s="112"/>
    </row>
    <row r="267" ht="15.75" customHeight="1"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W267" s="112"/>
      <c r="AX267" s="112"/>
      <c r="BA267" s="112"/>
      <c r="BF267" s="112"/>
      <c r="BG267" s="112"/>
      <c r="BH267" s="112"/>
      <c r="BI267" s="112"/>
    </row>
    <row r="268" ht="15.75" customHeight="1"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W268" s="112"/>
      <c r="AX268" s="112"/>
      <c r="BA268" s="112"/>
      <c r="BF268" s="112"/>
      <c r="BG268" s="112"/>
      <c r="BH268" s="112"/>
      <c r="BI268" s="112"/>
    </row>
    <row r="269" ht="15.75" customHeight="1"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W269" s="112"/>
      <c r="AX269" s="112"/>
      <c r="BA269" s="112"/>
      <c r="BF269" s="112"/>
      <c r="BG269" s="112"/>
      <c r="BH269" s="112"/>
      <c r="BI269" s="112"/>
    </row>
    <row r="270" ht="15.75" customHeight="1"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W270" s="112"/>
      <c r="AX270" s="112"/>
      <c r="BA270" s="112"/>
      <c r="BF270" s="112"/>
      <c r="BG270" s="112"/>
      <c r="BH270" s="112"/>
      <c r="BI270" s="112"/>
    </row>
    <row r="271" ht="15.75" customHeight="1"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W271" s="112"/>
      <c r="AX271" s="112"/>
      <c r="BA271" s="112"/>
      <c r="BF271" s="112"/>
      <c r="BG271" s="112"/>
      <c r="BH271" s="112"/>
      <c r="BI271" s="112"/>
    </row>
    <row r="272" ht="15.75" customHeight="1"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W272" s="112"/>
      <c r="AX272" s="112"/>
      <c r="BA272" s="112"/>
      <c r="BF272" s="112"/>
      <c r="BG272" s="112"/>
      <c r="BH272" s="112"/>
      <c r="BI272" s="112"/>
    </row>
    <row r="273" ht="15.75" customHeight="1"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W273" s="112"/>
      <c r="AX273" s="112"/>
      <c r="BA273" s="112"/>
      <c r="BF273" s="112"/>
      <c r="BG273" s="112"/>
      <c r="BH273" s="112"/>
      <c r="BI273" s="112"/>
    </row>
    <row r="274" ht="15.75" customHeight="1"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W274" s="112"/>
      <c r="AX274" s="112"/>
      <c r="BA274" s="112"/>
      <c r="BF274" s="112"/>
      <c r="BG274" s="112"/>
      <c r="BH274" s="112"/>
      <c r="BI274" s="112"/>
    </row>
    <row r="275" ht="15.75" customHeight="1"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W275" s="112"/>
      <c r="AX275" s="112"/>
      <c r="BA275" s="112"/>
      <c r="BF275" s="112"/>
      <c r="BG275" s="112"/>
      <c r="BH275" s="112"/>
      <c r="BI275" s="112"/>
    </row>
    <row r="276" ht="15.75" customHeight="1"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W276" s="112"/>
      <c r="AX276" s="112"/>
      <c r="BA276" s="112"/>
      <c r="BF276" s="112"/>
      <c r="BG276" s="112"/>
      <c r="BH276" s="112"/>
      <c r="BI276" s="112"/>
    </row>
    <row r="277" ht="15.75" customHeight="1"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W277" s="112"/>
      <c r="AX277" s="112"/>
      <c r="BA277" s="112"/>
      <c r="BF277" s="112"/>
      <c r="BG277" s="112"/>
      <c r="BH277" s="112"/>
      <c r="BI277" s="112"/>
    </row>
    <row r="278" ht="15.75" customHeight="1"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W278" s="112"/>
      <c r="AX278" s="112"/>
      <c r="BA278" s="112"/>
      <c r="BF278" s="112"/>
      <c r="BG278" s="112"/>
      <c r="BH278" s="112"/>
      <c r="BI278" s="112"/>
    </row>
    <row r="279" ht="15.75" customHeight="1"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W279" s="112"/>
      <c r="AX279" s="112"/>
      <c r="BA279" s="112"/>
      <c r="BF279" s="112"/>
      <c r="BG279" s="112"/>
      <c r="BH279" s="112"/>
      <c r="BI279" s="112"/>
    </row>
    <row r="280" ht="15.75" customHeight="1"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W280" s="112"/>
      <c r="AX280" s="112"/>
      <c r="BA280" s="112"/>
      <c r="BF280" s="112"/>
      <c r="BG280" s="112"/>
      <c r="BH280" s="112"/>
      <c r="BI280" s="112"/>
    </row>
    <row r="281" ht="15.75" customHeight="1"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W281" s="112"/>
      <c r="AX281" s="112"/>
      <c r="BA281" s="112"/>
      <c r="BF281" s="112"/>
      <c r="BG281" s="112"/>
      <c r="BH281" s="112"/>
      <c r="BI281" s="112"/>
    </row>
    <row r="282" ht="15.75" customHeight="1"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W282" s="112"/>
      <c r="AX282" s="112"/>
      <c r="BA282" s="112"/>
      <c r="BF282" s="112"/>
      <c r="BG282" s="112"/>
      <c r="BH282" s="112"/>
      <c r="BI282" s="112"/>
    </row>
    <row r="283" ht="15.75" customHeight="1"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W283" s="112"/>
      <c r="AX283" s="112"/>
      <c r="BA283" s="112"/>
      <c r="BF283" s="112"/>
      <c r="BG283" s="112"/>
      <c r="BH283" s="112"/>
      <c r="BI283" s="112"/>
    </row>
    <row r="284" ht="15.75" customHeight="1"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W284" s="112"/>
      <c r="AX284" s="112"/>
      <c r="BA284" s="112"/>
      <c r="BF284" s="112"/>
      <c r="BG284" s="112"/>
      <c r="BH284" s="112"/>
      <c r="BI284" s="112"/>
    </row>
    <row r="285" ht="15.75" customHeight="1"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W285" s="112"/>
      <c r="AX285" s="112"/>
      <c r="BA285" s="112"/>
      <c r="BF285" s="112"/>
      <c r="BG285" s="112"/>
      <c r="BH285" s="112"/>
      <c r="BI285" s="112"/>
    </row>
    <row r="286" ht="15.75" customHeight="1"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W286" s="112"/>
      <c r="AX286" s="112"/>
      <c r="BA286" s="112"/>
      <c r="BF286" s="112"/>
      <c r="BG286" s="112"/>
      <c r="BH286" s="112"/>
      <c r="BI286" s="112"/>
    </row>
    <row r="287" ht="15.75" customHeight="1"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W287" s="112"/>
      <c r="AX287" s="112"/>
      <c r="BA287" s="112"/>
      <c r="BF287" s="112"/>
      <c r="BG287" s="112"/>
      <c r="BH287" s="112"/>
      <c r="BI287" s="112"/>
    </row>
    <row r="288" ht="15.75" customHeight="1"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W288" s="112"/>
      <c r="AX288" s="112"/>
      <c r="BA288" s="112"/>
      <c r="BF288" s="112"/>
      <c r="BG288" s="112"/>
      <c r="BH288" s="112"/>
      <c r="BI288" s="112"/>
    </row>
    <row r="289" ht="15.75" customHeight="1"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W289" s="112"/>
      <c r="AX289" s="112"/>
      <c r="BA289" s="112"/>
      <c r="BF289" s="112"/>
      <c r="BG289" s="112"/>
      <c r="BH289" s="112"/>
      <c r="BI289" s="112"/>
    </row>
    <row r="290" ht="15.75" customHeight="1"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W290" s="112"/>
      <c r="AX290" s="112"/>
      <c r="BA290" s="112"/>
      <c r="BF290" s="112"/>
      <c r="BG290" s="112"/>
      <c r="BH290" s="112"/>
      <c r="BI290" s="112"/>
    </row>
    <row r="291" ht="15.75" customHeight="1"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W291" s="112"/>
      <c r="AX291" s="112"/>
      <c r="BA291" s="112"/>
      <c r="BF291" s="112"/>
      <c r="BG291" s="112"/>
      <c r="BH291" s="112"/>
      <c r="BI291" s="112"/>
    </row>
    <row r="292" ht="15.75" customHeight="1"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W292" s="112"/>
      <c r="AX292" s="112"/>
      <c r="BA292" s="112"/>
      <c r="BF292" s="112"/>
      <c r="BG292" s="112"/>
      <c r="BH292" s="112"/>
      <c r="BI292" s="112"/>
    </row>
    <row r="293" ht="15.75" customHeight="1"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W293" s="112"/>
      <c r="AX293" s="112"/>
      <c r="BA293" s="112"/>
      <c r="BF293" s="112"/>
      <c r="BG293" s="112"/>
      <c r="BH293" s="112"/>
      <c r="BI293" s="112"/>
    </row>
    <row r="294" ht="15.75" customHeight="1"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W294" s="112"/>
      <c r="AX294" s="112"/>
      <c r="BA294" s="112"/>
      <c r="BF294" s="112"/>
      <c r="BG294" s="112"/>
      <c r="BH294" s="112"/>
      <c r="BI294" s="112"/>
    </row>
    <row r="295" ht="15.75" customHeight="1"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W295" s="112"/>
      <c r="AX295" s="112"/>
      <c r="BA295" s="112"/>
      <c r="BF295" s="112"/>
      <c r="BG295" s="112"/>
      <c r="BH295" s="112"/>
      <c r="BI295" s="112"/>
    </row>
    <row r="296" ht="15.75" customHeight="1"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W296" s="112"/>
      <c r="AX296" s="112"/>
      <c r="BA296" s="112"/>
      <c r="BF296" s="112"/>
      <c r="BG296" s="112"/>
      <c r="BH296" s="112"/>
      <c r="BI296" s="112"/>
    </row>
    <row r="297" ht="15.75" customHeight="1"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W297" s="112"/>
      <c r="AX297" s="112"/>
      <c r="BA297" s="112"/>
      <c r="BF297" s="112"/>
      <c r="BG297" s="112"/>
      <c r="BH297" s="112"/>
      <c r="BI297" s="112"/>
    </row>
    <row r="298" ht="15.75" customHeight="1"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W298" s="112"/>
      <c r="AX298" s="112"/>
      <c r="BA298" s="112"/>
      <c r="BF298" s="112"/>
      <c r="BG298" s="112"/>
      <c r="BH298" s="112"/>
      <c r="BI298" s="112"/>
    </row>
    <row r="299" ht="15.75" customHeight="1"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W299" s="112"/>
      <c r="AX299" s="112"/>
      <c r="BA299" s="112"/>
      <c r="BF299" s="112"/>
      <c r="BG299" s="112"/>
      <c r="BH299" s="112"/>
      <c r="BI299" s="112"/>
    </row>
    <row r="300" ht="15.75" customHeight="1"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W300" s="112"/>
      <c r="AX300" s="112"/>
      <c r="BA300" s="112"/>
      <c r="BF300" s="112"/>
      <c r="BG300" s="112"/>
      <c r="BH300" s="112"/>
      <c r="BI300" s="112"/>
    </row>
    <row r="301" ht="15.75" customHeight="1"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W301" s="112"/>
      <c r="AX301" s="112"/>
      <c r="BA301" s="112"/>
      <c r="BF301" s="112"/>
      <c r="BG301" s="112"/>
      <c r="BH301" s="112"/>
      <c r="BI301" s="112"/>
    </row>
    <row r="302" ht="15.75" customHeight="1"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W302" s="112"/>
      <c r="AX302" s="112"/>
      <c r="BA302" s="112"/>
      <c r="BF302" s="112"/>
      <c r="BG302" s="112"/>
      <c r="BH302" s="112"/>
      <c r="BI302" s="112"/>
    </row>
    <row r="303" ht="15.75" customHeight="1"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W303" s="112"/>
      <c r="AX303" s="112"/>
      <c r="BA303" s="112"/>
      <c r="BF303" s="112"/>
      <c r="BG303" s="112"/>
      <c r="BH303" s="112"/>
      <c r="BI303" s="112"/>
    </row>
    <row r="304" ht="15.75" customHeight="1"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W304" s="112"/>
      <c r="AX304" s="112"/>
      <c r="BA304" s="112"/>
      <c r="BF304" s="112"/>
      <c r="BG304" s="112"/>
      <c r="BH304" s="112"/>
      <c r="BI304" s="112"/>
    </row>
    <row r="305" ht="15.75" customHeight="1"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W305" s="112"/>
      <c r="AX305" s="112"/>
      <c r="BA305" s="112"/>
      <c r="BF305" s="112"/>
      <c r="BG305" s="112"/>
      <c r="BH305" s="112"/>
      <c r="BI305" s="112"/>
    </row>
    <row r="306" ht="15.75" customHeight="1"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W306" s="112"/>
      <c r="AX306" s="112"/>
      <c r="BA306" s="112"/>
      <c r="BF306" s="112"/>
      <c r="BG306" s="112"/>
      <c r="BH306" s="112"/>
      <c r="BI306" s="112"/>
    </row>
    <row r="307" ht="15.75" customHeight="1"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W307" s="112"/>
      <c r="AX307" s="112"/>
      <c r="BA307" s="112"/>
      <c r="BF307" s="112"/>
      <c r="BG307" s="112"/>
      <c r="BH307" s="112"/>
      <c r="BI307" s="112"/>
    </row>
    <row r="308" ht="15.75" customHeight="1"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W308" s="112"/>
      <c r="AX308" s="112"/>
      <c r="BA308" s="112"/>
      <c r="BF308" s="112"/>
      <c r="BG308" s="112"/>
      <c r="BH308" s="112"/>
      <c r="BI308" s="112"/>
    </row>
    <row r="309" ht="15.75" customHeight="1"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W309" s="112"/>
      <c r="AX309" s="112"/>
      <c r="BA309" s="112"/>
      <c r="BF309" s="112"/>
      <c r="BG309" s="112"/>
      <c r="BH309" s="112"/>
      <c r="BI309" s="112"/>
    </row>
    <row r="310" ht="15.75" customHeight="1"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W310" s="112"/>
      <c r="AX310" s="112"/>
      <c r="BA310" s="112"/>
      <c r="BF310" s="112"/>
      <c r="BG310" s="112"/>
      <c r="BH310" s="112"/>
      <c r="BI310" s="112"/>
    </row>
    <row r="311" ht="15.75" customHeight="1"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W311" s="112"/>
      <c r="AX311" s="112"/>
      <c r="BA311" s="112"/>
      <c r="BF311" s="112"/>
      <c r="BG311" s="112"/>
      <c r="BH311" s="112"/>
      <c r="BI311" s="112"/>
    </row>
    <row r="312" ht="15.75" customHeight="1"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W312" s="112"/>
      <c r="AX312" s="112"/>
      <c r="BA312" s="112"/>
      <c r="BF312" s="112"/>
      <c r="BG312" s="112"/>
      <c r="BH312" s="112"/>
      <c r="BI312" s="112"/>
    </row>
    <row r="313" ht="15.75" customHeight="1"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W313" s="112"/>
      <c r="AX313" s="112"/>
      <c r="BA313" s="112"/>
      <c r="BF313" s="112"/>
      <c r="BG313" s="112"/>
      <c r="BH313" s="112"/>
      <c r="BI313" s="112"/>
    </row>
    <row r="314" ht="15.75" customHeight="1"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W314" s="112"/>
      <c r="AX314" s="112"/>
      <c r="BA314" s="112"/>
      <c r="BF314" s="112"/>
      <c r="BG314" s="112"/>
      <c r="BH314" s="112"/>
      <c r="BI314" s="112"/>
    </row>
    <row r="315" ht="15.75" customHeight="1"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W315" s="112"/>
      <c r="AX315" s="112"/>
      <c r="BA315" s="112"/>
      <c r="BF315" s="112"/>
      <c r="BG315" s="112"/>
      <c r="BH315" s="112"/>
      <c r="BI315" s="112"/>
    </row>
    <row r="316" ht="15.75" customHeight="1"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W316" s="112"/>
      <c r="AX316" s="112"/>
      <c r="BA316" s="112"/>
      <c r="BF316" s="112"/>
      <c r="BG316" s="112"/>
      <c r="BH316" s="112"/>
      <c r="BI316" s="112"/>
    </row>
    <row r="317" ht="15.75" customHeight="1"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W317" s="112"/>
      <c r="AX317" s="112"/>
      <c r="BA317" s="112"/>
      <c r="BF317" s="112"/>
      <c r="BG317" s="112"/>
      <c r="BH317" s="112"/>
      <c r="BI317" s="112"/>
    </row>
    <row r="318" ht="15.75" customHeight="1"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W318" s="112"/>
      <c r="AX318" s="112"/>
      <c r="BA318" s="112"/>
      <c r="BF318" s="112"/>
      <c r="BG318" s="112"/>
      <c r="BH318" s="112"/>
      <c r="BI318" s="112"/>
    </row>
    <row r="319" ht="15.75" customHeight="1"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W319" s="112"/>
      <c r="AX319" s="112"/>
      <c r="BA319" s="112"/>
      <c r="BF319" s="112"/>
      <c r="BG319" s="112"/>
      <c r="BH319" s="112"/>
      <c r="BI319" s="112"/>
    </row>
    <row r="320" ht="15.75" customHeight="1"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W320" s="112"/>
      <c r="AX320" s="112"/>
      <c r="BA320" s="112"/>
      <c r="BF320" s="112"/>
      <c r="BG320" s="112"/>
      <c r="BH320" s="112"/>
      <c r="BI320" s="112"/>
    </row>
    <row r="321" ht="15.75" customHeight="1"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W321" s="112"/>
      <c r="AX321" s="112"/>
      <c r="BA321" s="112"/>
      <c r="BF321" s="112"/>
      <c r="BG321" s="112"/>
      <c r="BH321" s="112"/>
      <c r="BI321" s="112"/>
    </row>
    <row r="322" ht="15.75" customHeight="1"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W322" s="112"/>
      <c r="AX322" s="112"/>
      <c r="BA322" s="112"/>
      <c r="BF322" s="112"/>
      <c r="BG322" s="112"/>
      <c r="BH322" s="112"/>
      <c r="BI322" s="112"/>
    </row>
    <row r="323" ht="15.75" customHeight="1"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W323" s="112"/>
      <c r="AX323" s="112"/>
      <c r="BA323" s="112"/>
      <c r="BF323" s="112"/>
      <c r="BG323" s="112"/>
      <c r="BH323" s="112"/>
      <c r="BI323" s="112"/>
    </row>
    <row r="324" ht="15.75" customHeight="1"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W324" s="112"/>
      <c r="AX324" s="112"/>
      <c r="BA324" s="112"/>
      <c r="BF324" s="112"/>
      <c r="BG324" s="112"/>
      <c r="BH324" s="112"/>
      <c r="BI324" s="112"/>
    </row>
    <row r="325" ht="15.75" customHeight="1"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W325" s="112"/>
      <c r="AX325" s="112"/>
      <c r="BA325" s="112"/>
      <c r="BF325" s="112"/>
      <c r="BG325" s="112"/>
      <c r="BH325" s="112"/>
      <c r="BI325" s="112"/>
    </row>
    <row r="326" ht="15.75" customHeight="1"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W326" s="112"/>
      <c r="AX326" s="112"/>
      <c r="BA326" s="112"/>
      <c r="BF326" s="112"/>
      <c r="BG326" s="112"/>
      <c r="BH326" s="112"/>
      <c r="BI326" s="112"/>
    </row>
    <row r="327" ht="15.75" customHeight="1"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W327" s="112"/>
      <c r="AX327" s="112"/>
      <c r="BA327" s="112"/>
      <c r="BF327" s="112"/>
      <c r="BG327" s="112"/>
      <c r="BH327" s="112"/>
      <c r="BI327" s="112"/>
    </row>
    <row r="328" ht="15.75" customHeight="1"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W328" s="112"/>
      <c r="AX328" s="112"/>
      <c r="BA328" s="112"/>
      <c r="BF328" s="112"/>
      <c r="BG328" s="112"/>
      <c r="BH328" s="112"/>
      <c r="BI328" s="112"/>
    </row>
    <row r="329" ht="15.75" customHeight="1"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W329" s="112"/>
      <c r="AX329" s="112"/>
      <c r="BA329" s="112"/>
      <c r="BF329" s="112"/>
      <c r="BG329" s="112"/>
      <c r="BH329" s="112"/>
      <c r="BI329" s="112"/>
    </row>
    <row r="330" ht="15.75" customHeight="1"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W330" s="112"/>
      <c r="AX330" s="112"/>
      <c r="BA330" s="112"/>
      <c r="BF330" s="112"/>
      <c r="BG330" s="112"/>
      <c r="BH330" s="112"/>
      <c r="BI330" s="112"/>
    </row>
    <row r="331" ht="15.75" customHeight="1"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W331" s="112"/>
      <c r="AX331" s="112"/>
      <c r="BA331" s="112"/>
      <c r="BF331" s="112"/>
      <c r="BG331" s="112"/>
      <c r="BH331" s="112"/>
      <c r="BI331" s="112"/>
    </row>
    <row r="332" ht="15.75" customHeight="1"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W332" s="112"/>
      <c r="AX332" s="112"/>
      <c r="BA332" s="112"/>
      <c r="BF332" s="112"/>
      <c r="BG332" s="112"/>
      <c r="BH332" s="112"/>
      <c r="BI332" s="112"/>
    </row>
    <row r="333" ht="15.75" customHeight="1"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W333" s="112"/>
      <c r="AX333" s="112"/>
      <c r="BA333" s="112"/>
      <c r="BF333" s="112"/>
      <c r="BG333" s="112"/>
      <c r="BH333" s="112"/>
      <c r="BI333" s="112"/>
    </row>
    <row r="334" ht="15.75" customHeight="1"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W334" s="112"/>
      <c r="AX334" s="112"/>
      <c r="BA334" s="112"/>
      <c r="BF334" s="112"/>
      <c r="BG334" s="112"/>
      <c r="BH334" s="112"/>
      <c r="BI334" s="112"/>
    </row>
    <row r="335" ht="15.75" customHeight="1"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W335" s="112"/>
      <c r="AX335" s="112"/>
      <c r="BA335" s="112"/>
      <c r="BF335" s="112"/>
      <c r="BG335" s="112"/>
      <c r="BH335" s="112"/>
      <c r="BI335" s="112"/>
    </row>
    <row r="336" ht="15.75" customHeight="1"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W336" s="112"/>
      <c r="AX336" s="112"/>
      <c r="BA336" s="112"/>
      <c r="BF336" s="112"/>
      <c r="BG336" s="112"/>
      <c r="BH336" s="112"/>
      <c r="BI336" s="112"/>
    </row>
    <row r="337" ht="15.75" customHeight="1"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W337" s="112"/>
      <c r="AX337" s="112"/>
      <c r="BA337" s="112"/>
      <c r="BF337" s="112"/>
      <c r="BG337" s="112"/>
      <c r="BH337" s="112"/>
      <c r="BI337" s="112"/>
    </row>
    <row r="338" ht="15.75" customHeight="1"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W338" s="112"/>
      <c r="AX338" s="112"/>
      <c r="BA338" s="112"/>
      <c r="BF338" s="112"/>
      <c r="BG338" s="112"/>
      <c r="BH338" s="112"/>
      <c r="BI338" s="112"/>
    </row>
    <row r="339" ht="15.75" customHeight="1"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W339" s="112"/>
      <c r="AX339" s="112"/>
      <c r="BA339" s="112"/>
      <c r="BF339" s="112"/>
      <c r="BG339" s="112"/>
      <c r="BH339" s="112"/>
      <c r="BI339" s="112"/>
    </row>
    <row r="340" ht="15.75" customHeight="1"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W340" s="112"/>
      <c r="AX340" s="112"/>
      <c r="BA340" s="112"/>
      <c r="BF340" s="112"/>
      <c r="BG340" s="112"/>
      <c r="BH340" s="112"/>
      <c r="BI340" s="112"/>
    </row>
    <row r="341" ht="15.75" customHeight="1"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W341" s="112"/>
      <c r="AX341" s="112"/>
      <c r="BA341" s="112"/>
      <c r="BF341" s="112"/>
      <c r="BG341" s="112"/>
      <c r="BH341" s="112"/>
      <c r="BI341" s="112"/>
    </row>
    <row r="342" ht="15.75" customHeight="1"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W342" s="112"/>
      <c r="AX342" s="112"/>
      <c r="BA342" s="112"/>
      <c r="BF342" s="112"/>
      <c r="BG342" s="112"/>
      <c r="BH342" s="112"/>
      <c r="BI342" s="112"/>
    </row>
    <row r="343" ht="15.75" customHeight="1"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W343" s="112"/>
      <c r="AX343" s="112"/>
      <c r="BA343" s="112"/>
      <c r="BF343" s="112"/>
      <c r="BG343" s="112"/>
      <c r="BH343" s="112"/>
      <c r="BI343" s="112"/>
    </row>
    <row r="344" ht="15.75" customHeight="1"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W344" s="112"/>
      <c r="AX344" s="112"/>
      <c r="BA344" s="112"/>
      <c r="BF344" s="112"/>
      <c r="BG344" s="112"/>
      <c r="BH344" s="112"/>
      <c r="BI344" s="112"/>
    </row>
    <row r="345" ht="15.75" customHeight="1"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W345" s="112"/>
      <c r="AX345" s="112"/>
      <c r="BA345" s="112"/>
      <c r="BF345" s="112"/>
      <c r="BG345" s="112"/>
      <c r="BH345" s="112"/>
      <c r="BI345" s="112"/>
    </row>
    <row r="346" ht="15.75" customHeight="1"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W346" s="112"/>
      <c r="AX346" s="112"/>
      <c r="BA346" s="112"/>
      <c r="BF346" s="112"/>
      <c r="BG346" s="112"/>
      <c r="BH346" s="112"/>
      <c r="BI346" s="112"/>
    </row>
    <row r="347" ht="15.75" customHeight="1"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W347" s="112"/>
      <c r="AX347" s="112"/>
      <c r="BA347" s="112"/>
      <c r="BF347" s="112"/>
      <c r="BG347" s="112"/>
      <c r="BH347" s="112"/>
      <c r="BI347" s="112"/>
    </row>
    <row r="348" ht="15.75" customHeight="1"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W348" s="112"/>
      <c r="AX348" s="112"/>
      <c r="BA348" s="112"/>
      <c r="BF348" s="112"/>
      <c r="BG348" s="112"/>
      <c r="BH348" s="112"/>
      <c r="BI348" s="112"/>
    </row>
    <row r="349" ht="15.75" customHeight="1"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W349" s="112"/>
      <c r="AX349" s="112"/>
      <c r="BA349" s="112"/>
      <c r="BF349" s="112"/>
      <c r="BG349" s="112"/>
      <c r="BH349" s="112"/>
      <c r="BI349" s="112"/>
    </row>
    <row r="350" ht="15.75" customHeight="1"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W350" s="112"/>
      <c r="AX350" s="112"/>
      <c r="BA350" s="112"/>
      <c r="BF350" s="112"/>
      <c r="BG350" s="112"/>
      <c r="BH350" s="112"/>
      <c r="BI350" s="112"/>
    </row>
    <row r="351" ht="15.75" customHeight="1"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W351" s="112"/>
      <c r="AX351" s="112"/>
      <c r="BA351" s="112"/>
      <c r="BF351" s="112"/>
      <c r="BG351" s="112"/>
      <c r="BH351" s="112"/>
      <c r="BI351" s="112"/>
    </row>
    <row r="352" ht="15.75" customHeight="1"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W352" s="112"/>
      <c r="AX352" s="112"/>
      <c r="BA352" s="112"/>
      <c r="BF352" s="112"/>
      <c r="BG352" s="112"/>
      <c r="BH352" s="112"/>
      <c r="BI352" s="112"/>
    </row>
    <row r="353" ht="15.75" customHeight="1"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W353" s="112"/>
      <c r="AX353" s="112"/>
      <c r="BA353" s="112"/>
      <c r="BF353" s="112"/>
      <c r="BG353" s="112"/>
      <c r="BH353" s="112"/>
      <c r="BI353" s="112"/>
    </row>
    <row r="354" ht="15.75" customHeight="1"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W354" s="112"/>
      <c r="AX354" s="112"/>
      <c r="BA354" s="112"/>
      <c r="BF354" s="112"/>
      <c r="BG354" s="112"/>
      <c r="BH354" s="112"/>
      <c r="BI354" s="112"/>
    </row>
    <row r="355" ht="15.75" customHeight="1"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W355" s="112"/>
      <c r="AX355" s="112"/>
      <c r="BA355" s="112"/>
      <c r="BF355" s="112"/>
      <c r="BG355" s="112"/>
      <c r="BH355" s="112"/>
      <c r="BI355" s="112"/>
    </row>
    <row r="356" ht="15.75" customHeight="1"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W356" s="112"/>
      <c r="AX356" s="112"/>
      <c r="BA356" s="112"/>
      <c r="BF356" s="112"/>
      <c r="BG356" s="112"/>
      <c r="BH356" s="112"/>
      <c r="BI356" s="112"/>
    </row>
    <row r="357" ht="15.75" customHeight="1"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W357" s="112"/>
      <c r="AX357" s="112"/>
      <c r="BA357" s="112"/>
      <c r="BF357" s="112"/>
      <c r="BG357" s="112"/>
      <c r="BH357" s="112"/>
      <c r="BI357" s="112"/>
    </row>
    <row r="358" ht="15.75" customHeight="1"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W358" s="112"/>
      <c r="AX358" s="112"/>
      <c r="BA358" s="112"/>
      <c r="BF358" s="112"/>
      <c r="BG358" s="112"/>
      <c r="BH358" s="112"/>
      <c r="BI358" s="112"/>
    </row>
    <row r="359" ht="15.75" customHeight="1"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W359" s="112"/>
      <c r="AX359" s="112"/>
      <c r="BA359" s="112"/>
      <c r="BF359" s="112"/>
      <c r="BG359" s="112"/>
      <c r="BH359" s="112"/>
      <c r="BI359" s="112"/>
    </row>
    <row r="360" ht="15.75" customHeight="1"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W360" s="112"/>
      <c r="AX360" s="112"/>
      <c r="BA360" s="112"/>
      <c r="BF360" s="112"/>
      <c r="BG360" s="112"/>
      <c r="BH360" s="112"/>
      <c r="BI360" s="112"/>
    </row>
    <row r="361" ht="15.75" customHeight="1"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W361" s="112"/>
      <c r="AX361" s="112"/>
      <c r="BA361" s="112"/>
      <c r="BF361" s="112"/>
      <c r="BG361" s="112"/>
      <c r="BH361" s="112"/>
      <c r="BI361" s="112"/>
    </row>
    <row r="362" ht="15.75" customHeight="1"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W362" s="112"/>
      <c r="AX362" s="112"/>
      <c r="BA362" s="112"/>
      <c r="BF362" s="112"/>
      <c r="BG362" s="112"/>
      <c r="BH362" s="112"/>
      <c r="BI362" s="112"/>
    </row>
    <row r="363" ht="15.75" customHeight="1"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W363" s="112"/>
      <c r="AX363" s="112"/>
      <c r="BA363" s="112"/>
      <c r="BF363" s="112"/>
      <c r="BG363" s="112"/>
      <c r="BH363" s="112"/>
      <c r="BI363" s="112"/>
    </row>
    <row r="364" ht="15.75" customHeight="1"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W364" s="112"/>
      <c r="AX364" s="112"/>
      <c r="BA364" s="112"/>
      <c r="BF364" s="112"/>
      <c r="BG364" s="112"/>
      <c r="BH364" s="112"/>
      <c r="BI364" s="112"/>
    </row>
    <row r="365" ht="15.75" customHeight="1"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W365" s="112"/>
      <c r="AX365" s="112"/>
      <c r="BA365" s="112"/>
      <c r="BF365" s="112"/>
      <c r="BG365" s="112"/>
      <c r="BH365" s="112"/>
      <c r="BI365" s="112"/>
    </row>
    <row r="366" ht="15.75" customHeight="1"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W366" s="112"/>
      <c r="AX366" s="112"/>
      <c r="BA366" s="112"/>
      <c r="BF366" s="112"/>
      <c r="BG366" s="112"/>
      <c r="BH366" s="112"/>
      <c r="BI366" s="112"/>
    </row>
    <row r="367" ht="15.75" customHeight="1"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W367" s="112"/>
      <c r="AX367" s="112"/>
      <c r="BA367" s="112"/>
      <c r="BF367" s="112"/>
      <c r="BG367" s="112"/>
      <c r="BH367" s="112"/>
      <c r="BI367" s="112"/>
    </row>
    <row r="368" ht="15.75" customHeight="1"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W368" s="112"/>
      <c r="AX368" s="112"/>
      <c r="BA368" s="112"/>
      <c r="BF368" s="112"/>
      <c r="BG368" s="112"/>
      <c r="BH368" s="112"/>
      <c r="BI368" s="112"/>
    </row>
    <row r="369" ht="15.75" customHeight="1"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W369" s="112"/>
      <c r="AX369" s="112"/>
      <c r="BA369" s="112"/>
      <c r="BF369" s="112"/>
      <c r="BG369" s="112"/>
      <c r="BH369" s="112"/>
      <c r="BI369" s="112"/>
    </row>
    <row r="370" ht="15.75" customHeight="1"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W370" s="112"/>
      <c r="AX370" s="112"/>
      <c r="BA370" s="112"/>
      <c r="BF370" s="112"/>
      <c r="BG370" s="112"/>
      <c r="BH370" s="112"/>
      <c r="BI370" s="112"/>
    </row>
    <row r="371" ht="15.75" customHeight="1"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W371" s="112"/>
      <c r="AX371" s="112"/>
      <c r="BA371" s="112"/>
      <c r="BF371" s="112"/>
      <c r="BG371" s="112"/>
      <c r="BH371" s="112"/>
      <c r="BI371" s="112"/>
    </row>
    <row r="372" ht="15.75" customHeight="1"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W372" s="112"/>
      <c r="AX372" s="112"/>
      <c r="BA372" s="112"/>
      <c r="BF372" s="112"/>
      <c r="BG372" s="112"/>
      <c r="BH372" s="112"/>
      <c r="BI372" s="112"/>
    </row>
    <row r="373" ht="15.75" customHeight="1"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W373" s="112"/>
      <c r="AX373" s="112"/>
      <c r="BA373" s="112"/>
      <c r="BF373" s="112"/>
      <c r="BG373" s="112"/>
      <c r="BH373" s="112"/>
      <c r="BI373" s="112"/>
    </row>
    <row r="374" ht="15.75" customHeight="1"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W374" s="112"/>
      <c r="AX374" s="112"/>
      <c r="BA374" s="112"/>
      <c r="BF374" s="112"/>
      <c r="BG374" s="112"/>
      <c r="BH374" s="112"/>
      <c r="BI374" s="112"/>
    </row>
    <row r="375" ht="15.75" customHeight="1"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W375" s="112"/>
      <c r="AX375" s="112"/>
      <c r="BA375" s="112"/>
      <c r="BF375" s="112"/>
      <c r="BG375" s="112"/>
      <c r="BH375" s="112"/>
      <c r="BI375" s="112"/>
    </row>
    <row r="376" ht="15.75" customHeight="1"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W376" s="112"/>
      <c r="AX376" s="112"/>
      <c r="BA376" s="112"/>
      <c r="BF376" s="112"/>
      <c r="BG376" s="112"/>
      <c r="BH376" s="112"/>
      <c r="BI376" s="112"/>
    </row>
    <row r="377" ht="15.75" customHeight="1"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W377" s="112"/>
      <c r="AX377" s="112"/>
      <c r="BA377" s="112"/>
      <c r="BF377" s="112"/>
      <c r="BG377" s="112"/>
      <c r="BH377" s="112"/>
      <c r="BI377" s="112"/>
    </row>
    <row r="378" ht="15.75" customHeight="1"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W378" s="112"/>
      <c r="AX378" s="112"/>
      <c r="BA378" s="112"/>
      <c r="BF378" s="112"/>
      <c r="BG378" s="112"/>
      <c r="BH378" s="112"/>
      <c r="BI378" s="112"/>
    </row>
    <row r="379" ht="15.75" customHeight="1"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W379" s="112"/>
      <c r="AX379" s="112"/>
      <c r="BA379" s="112"/>
      <c r="BF379" s="112"/>
      <c r="BG379" s="112"/>
      <c r="BH379" s="112"/>
      <c r="BI379" s="112"/>
    </row>
    <row r="380" ht="15.75" customHeight="1"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W380" s="112"/>
      <c r="AX380" s="112"/>
      <c r="BA380" s="112"/>
      <c r="BF380" s="112"/>
      <c r="BG380" s="112"/>
      <c r="BH380" s="112"/>
      <c r="BI380" s="112"/>
    </row>
    <row r="381" ht="15.75" customHeight="1"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W381" s="112"/>
      <c r="AX381" s="112"/>
      <c r="BA381" s="112"/>
      <c r="BF381" s="112"/>
      <c r="BG381" s="112"/>
      <c r="BH381" s="112"/>
      <c r="BI381" s="112"/>
    </row>
    <row r="382" ht="15.75" customHeight="1"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W382" s="112"/>
      <c r="AX382" s="112"/>
      <c r="BA382" s="112"/>
      <c r="BF382" s="112"/>
      <c r="BG382" s="112"/>
      <c r="BH382" s="112"/>
      <c r="BI382" s="112"/>
    </row>
    <row r="383" ht="15.75" customHeight="1"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W383" s="112"/>
      <c r="AX383" s="112"/>
      <c r="BA383" s="112"/>
      <c r="BF383" s="112"/>
      <c r="BG383" s="112"/>
      <c r="BH383" s="112"/>
      <c r="BI383" s="112"/>
    </row>
    <row r="384" ht="15.75" customHeight="1"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W384" s="112"/>
      <c r="AX384" s="112"/>
      <c r="BA384" s="112"/>
      <c r="BF384" s="112"/>
      <c r="BG384" s="112"/>
      <c r="BH384" s="112"/>
      <c r="BI384" s="112"/>
    </row>
    <row r="385" ht="15.75" customHeight="1"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W385" s="112"/>
      <c r="AX385" s="112"/>
      <c r="BA385" s="112"/>
      <c r="BF385" s="112"/>
      <c r="BG385" s="112"/>
      <c r="BH385" s="112"/>
      <c r="BI385" s="112"/>
    </row>
    <row r="386" ht="15.75" customHeight="1"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W386" s="112"/>
      <c r="AX386" s="112"/>
      <c r="BA386" s="112"/>
      <c r="BF386" s="112"/>
      <c r="BG386" s="112"/>
      <c r="BH386" s="112"/>
      <c r="BI386" s="112"/>
    </row>
    <row r="387" ht="15.75" customHeight="1"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W387" s="112"/>
      <c r="AX387" s="112"/>
      <c r="BA387" s="112"/>
      <c r="BF387" s="112"/>
      <c r="BG387" s="112"/>
      <c r="BH387" s="112"/>
      <c r="BI387" s="112"/>
    </row>
    <row r="388" ht="15.75" customHeight="1"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W388" s="112"/>
      <c r="AX388" s="112"/>
      <c r="BA388" s="112"/>
      <c r="BF388" s="112"/>
      <c r="BG388" s="112"/>
      <c r="BH388" s="112"/>
      <c r="BI388" s="112"/>
    </row>
    <row r="389" ht="15.75" customHeight="1"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W389" s="112"/>
      <c r="AX389" s="112"/>
      <c r="BA389" s="112"/>
      <c r="BF389" s="112"/>
      <c r="BG389" s="112"/>
      <c r="BH389" s="112"/>
      <c r="BI389" s="112"/>
    </row>
    <row r="390" ht="15.75" customHeight="1"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W390" s="112"/>
      <c r="AX390" s="112"/>
      <c r="BA390" s="112"/>
      <c r="BF390" s="112"/>
      <c r="BG390" s="112"/>
      <c r="BH390" s="112"/>
      <c r="BI390" s="112"/>
    </row>
    <row r="391" ht="15.75" customHeight="1"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W391" s="112"/>
      <c r="AX391" s="112"/>
      <c r="BA391" s="112"/>
      <c r="BF391" s="112"/>
      <c r="BG391" s="112"/>
      <c r="BH391" s="112"/>
      <c r="BI391" s="112"/>
    </row>
    <row r="392" ht="15.75" customHeight="1"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W392" s="112"/>
      <c r="AX392" s="112"/>
      <c r="BA392" s="112"/>
      <c r="BF392" s="112"/>
      <c r="BG392" s="112"/>
      <c r="BH392" s="112"/>
      <c r="BI392" s="112"/>
    </row>
    <row r="393" ht="15.75" customHeight="1"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W393" s="112"/>
      <c r="AX393" s="112"/>
      <c r="BA393" s="112"/>
      <c r="BF393" s="112"/>
      <c r="BG393" s="112"/>
      <c r="BH393" s="112"/>
      <c r="BI393" s="112"/>
    </row>
    <row r="394" ht="15.75" customHeight="1"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W394" s="112"/>
      <c r="AX394" s="112"/>
      <c r="BA394" s="112"/>
      <c r="BF394" s="112"/>
      <c r="BG394" s="112"/>
      <c r="BH394" s="112"/>
      <c r="BI394" s="112"/>
    </row>
    <row r="395" ht="15.75" customHeight="1"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W395" s="112"/>
      <c r="AX395" s="112"/>
      <c r="BA395" s="112"/>
      <c r="BF395" s="112"/>
      <c r="BG395" s="112"/>
      <c r="BH395" s="112"/>
      <c r="BI395" s="112"/>
    </row>
    <row r="396" ht="15.75" customHeight="1"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W396" s="112"/>
      <c r="AX396" s="112"/>
      <c r="BA396" s="112"/>
      <c r="BF396" s="112"/>
      <c r="BG396" s="112"/>
      <c r="BH396" s="112"/>
      <c r="BI396" s="112"/>
    </row>
    <row r="397" ht="15.75" customHeight="1"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W397" s="112"/>
      <c r="AX397" s="112"/>
      <c r="BA397" s="112"/>
      <c r="BF397" s="112"/>
      <c r="BG397" s="112"/>
      <c r="BH397" s="112"/>
      <c r="BI397" s="112"/>
    </row>
    <row r="398" ht="15.75" customHeight="1"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W398" s="112"/>
      <c r="AX398" s="112"/>
      <c r="BA398" s="112"/>
      <c r="BF398" s="112"/>
      <c r="BG398" s="112"/>
      <c r="BH398" s="112"/>
      <c r="BI398" s="112"/>
    </row>
    <row r="399" ht="15.75" customHeight="1"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W399" s="112"/>
      <c r="AX399" s="112"/>
      <c r="BA399" s="112"/>
      <c r="BF399" s="112"/>
      <c r="BG399" s="112"/>
      <c r="BH399" s="112"/>
      <c r="BI399" s="112"/>
    </row>
    <row r="400" ht="15.75" customHeight="1"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W400" s="112"/>
      <c r="AX400" s="112"/>
      <c r="BA400" s="112"/>
      <c r="BF400" s="112"/>
      <c r="BG400" s="112"/>
      <c r="BH400" s="112"/>
      <c r="BI400" s="112"/>
    </row>
    <row r="401" ht="15.75" customHeight="1"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W401" s="112"/>
      <c r="AX401" s="112"/>
      <c r="BA401" s="112"/>
      <c r="BF401" s="112"/>
      <c r="BG401" s="112"/>
      <c r="BH401" s="112"/>
      <c r="BI401" s="112"/>
    </row>
    <row r="402" ht="15.75" customHeight="1"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W402" s="112"/>
      <c r="AX402" s="112"/>
      <c r="BA402" s="112"/>
      <c r="BF402" s="112"/>
      <c r="BG402" s="112"/>
      <c r="BH402" s="112"/>
      <c r="BI402" s="112"/>
    </row>
    <row r="403" ht="15.75" customHeight="1"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W403" s="112"/>
      <c r="AX403" s="112"/>
      <c r="BA403" s="112"/>
      <c r="BF403" s="112"/>
      <c r="BG403" s="112"/>
      <c r="BH403" s="112"/>
      <c r="BI403" s="112"/>
    </row>
    <row r="404" ht="15.75" customHeight="1"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W404" s="112"/>
      <c r="AX404" s="112"/>
      <c r="BA404" s="112"/>
      <c r="BF404" s="112"/>
      <c r="BG404" s="112"/>
      <c r="BH404" s="112"/>
      <c r="BI404" s="112"/>
    </row>
    <row r="405" ht="15.75" customHeight="1"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W405" s="112"/>
      <c r="AX405" s="112"/>
      <c r="BA405" s="112"/>
      <c r="BF405" s="112"/>
      <c r="BG405" s="112"/>
      <c r="BH405" s="112"/>
      <c r="BI405" s="112"/>
    </row>
    <row r="406" ht="15.75" customHeight="1"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W406" s="112"/>
      <c r="AX406" s="112"/>
      <c r="BA406" s="112"/>
      <c r="BF406" s="112"/>
      <c r="BG406" s="112"/>
      <c r="BH406" s="112"/>
      <c r="BI406" s="112"/>
    </row>
    <row r="407" ht="15.75" customHeight="1"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W407" s="112"/>
      <c r="AX407" s="112"/>
      <c r="BA407" s="112"/>
      <c r="BF407" s="112"/>
      <c r="BG407" s="112"/>
      <c r="BH407" s="112"/>
      <c r="BI407" s="112"/>
    </row>
    <row r="408" ht="15.75" customHeight="1"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W408" s="112"/>
      <c r="AX408" s="112"/>
      <c r="BA408" s="112"/>
      <c r="BF408" s="112"/>
      <c r="BG408" s="112"/>
      <c r="BH408" s="112"/>
      <c r="BI408" s="112"/>
    </row>
    <row r="409" ht="15.75" customHeight="1"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W409" s="112"/>
      <c r="AX409" s="112"/>
      <c r="BA409" s="112"/>
      <c r="BF409" s="112"/>
      <c r="BG409" s="112"/>
      <c r="BH409" s="112"/>
      <c r="BI409" s="112"/>
    </row>
    <row r="410" ht="15.75" customHeight="1"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W410" s="112"/>
      <c r="AX410" s="112"/>
      <c r="BA410" s="112"/>
      <c r="BF410" s="112"/>
      <c r="BG410" s="112"/>
      <c r="BH410" s="112"/>
      <c r="BI410" s="112"/>
    </row>
    <row r="411" ht="15.75" customHeight="1"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W411" s="112"/>
      <c r="AX411" s="112"/>
      <c r="BA411" s="112"/>
      <c r="BF411" s="112"/>
      <c r="BG411" s="112"/>
      <c r="BH411" s="112"/>
      <c r="BI411" s="112"/>
    </row>
    <row r="412" ht="15.75" customHeight="1"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W412" s="112"/>
      <c r="AX412" s="112"/>
      <c r="BA412" s="112"/>
      <c r="BF412" s="112"/>
      <c r="BG412" s="112"/>
      <c r="BH412" s="112"/>
      <c r="BI412" s="112"/>
    </row>
    <row r="413" ht="15.75" customHeight="1"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W413" s="112"/>
      <c r="AX413" s="112"/>
      <c r="BA413" s="112"/>
      <c r="BF413" s="112"/>
      <c r="BG413" s="112"/>
      <c r="BH413" s="112"/>
      <c r="BI413" s="112"/>
    </row>
    <row r="414" ht="15.75" customHeight="1"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W414" s="112"/>
      <c r="AX414" s="112"/>
      <c r="BA414" s="112"/>
      <c r="BF414" s="112"/>
      <c r="BG414" s="112"/>
      <c r="BH414" s="112"/>
      <c r="BI414" s="112"/>
    </row>
    <row r="415" ht="15.75" customHeight="1"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W415" s="112"/>
      <c r="AX415" s="112"/>
      <c r="BA415" s="112"/>
      <c r="BF415" s="112"/>
      <c r="BG415" s="112"/>
      <c r="BH415" s="112"/>
      <c r="BI415" s="112"/>
    </row>
    <row r="416" ht="15.75" customHeight="1"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W416" s="112"/>
      <c r="AX416" s="112"/>
      <c r="BA416" s="112"/>
      <c r="BF416" s="112"/>
      <c r="BG416" s="112"/>
      <c r="BH416" s="112"/>
      <c r="BI416" s="112"/>
    </row>
    <row r="417" ht="15.75" customHeight="1"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W417" s="112"/>
      <c r="AX417" s="112"/>
      <c r="BA417" s="112"/>
      <c r="BF417" s="112"/>
      <c r="BG417" s="112"/>
      <c r="BH417" s="112"/>
      <c r="BI417" s="112"/>
    </row>
    <row r="418" ht="15.75" customHeight="1"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W418" s="112"/>
      <c r="AX418" s="112"/>
      <c r="BA418" s="112"/>
      <c r="BF418" s="112"/>
      <c r="BG418" s="112"/>
      <c r="BH418" s="112"/>
      <c r="BI418" s="112"/>
    </row>
    <row r="419" ht="15.75" customHeight="1"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W419" s="112"/>
      <c r="AX419" s="112"/>
      <c r="BA419" s="112"/>
      <c r="BF419" s="112"/>
      <c r="BG419" s="112"/>
      <c r="BH419" s="112"/>
      <c r="BI419" s="112"/>
    </row>
    <row r="420" ht="15.75" customHeight="1"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W420" s="112"/>
      <c r="AX420" s="112"/>
      <c r="BA420" s="112"/>
      <c r="BF420" s="112"/>
      <c r="BG420" s="112"/>
      <c r="BH420" s="112"/>
      <c r="BI420" s="112"/>
    </row>
    <row r="421" ht="15.75" customHeight="1"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W421" s="112"/>
      <c r="AX421" s="112"/>
      <c r="BA421" s="112"/>
      <c r="BF421" s="112"/>
      <c r="BG421" s="112"/>
      <c r="BH421" s="112"/>
      <c r="BI421" s="112"/>
    </row>
    <row r="422" ht="15.75" customHeight="1"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W422" s="112"/>
      <c r="AX422" s="112"/>
      <c r="BA422" s="112"/>
      <c r="BF422" s="112"/>
      <c r="BG422" s="112"/>
      <c r="BH422" s="112"/>
      <c r="BI422" s="112"/>
    </row>
    <row r="423" ht="15.75" customHeight="1"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W423" s="112"/>
      <c r="AX423" s="112"/>
      <c r="BA423" s="112"/>
      <c r="BF423" s="112"/>
      <c r="BG423" s="112"/>
      <c r="BH423" s="112"/>
      <c r="BI423" s="112"/>
    </row>
    <row r="424" ht="15.75" customHeight="1"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W424" s="112"/>
      <c r="AX424" s="112"/>
      <c r="BA424" s="112"/>
      <c r="BF424" s="112"/>
      <c r="BG424" s="112"/>
      <c r="BH424" s="112"/>
      <c r="BI424" s="112"/>
    </row>
    <row r="425" ht="15.75" customHeight="1"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W425" s="112"/>
      <c r="AX425" s="112"/>
      <c r="BA425" s="112"/>
      <c r="BF425" s="112"/>
      <c r="BG425" s="112"/>
      <c r="BH425" s="112"/>
      <c r="BI425" s="112"/>
    </row>
    <row r="426" ht="15.75" customHeight="1"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W426" s="112"/>
      <c r="AX426" s="112"/>
      <c r="BA426" s="112"/>
      <c r="BF426" s="112"/>
      <c r="BG426" s="112"/>
      <c r="BH426" s="112"/>
      <c r="BI426" s="112"/>
    </row>
    <row r="427" ht="15.75" customHeight="1"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W427" s="112"/>
      <c r="AX427" s="112"/>
      <c r="BA427" s="112"/>
      <c r="BF427" s="112"/>
      <c r="BG427" s="112"/>
      <c r="BH427" s="112"/>
      <c r="BI427" s="112"/>
    </row>
    <row r="428" ht="15.75" customHeight="1"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W428" s="112"/>
      <c r="AX428" s="112"/>
      <c r="BA428" s="112"/>
      <c r="BF428" s="112"/>
      <c r="BG428" s="112"/>
      <c r="BH428" s="112"/>
      <c r="BI428" s="112"/>
    </row>
    <row r="429" ht="15.75" customHeight="1"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W429" s="112"/>
      <c r="AX429" s="112"/>
      <c r="BA429" s="112"/>
      <c r="BF429" s="112"/>
      <c r="BG429" s="112"/>
      <c r="BH429" s="112"/>
      <c r="BI429" s="112"/>
    </row>
    <row r="430" ht="15.75" customHeight="1"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W430" s="112"/>
      <c r="AX430" s="112"/>
      <c r="BA430" s="112"/>
      <c r="BF430" s="112"/>
      <c r="BG430" s="112"/>
      <c r="BH430" s="112"/>
      <c r="BI430" s="112"/>
    </row>
    <row r="431" ht="15.75" customHeight="1"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W431" s="112"/>
      <c r="AX431" s="112"/>
      <c r="BA431" s="112"/>
      <c r="BF431" s="112"/>
      <c r="BG431" s="112"/>
      <c r="BH431" s="112"/>
      <c r="BI431" s="112"/>
    </row>
    <row r="432" ht="15.75" customHeight="1"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W432" s="112"/>
      <c r="AX432" s="112"/>
      <c r="BA432" s="112"/>
      <c r="BF432" s="112"/>
      <c r="BG432" s="112"/>
      <c r="BH432" s="112"/>
      <c r="BI432" s="112"/>
    </row>
    <row r="433" ht="15.75" customHeight="1"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W433" s="112"/>
      <c r="AX433" s="112"/>
      <c r="BA433" s="112"/>
      <c r="BF433" s="112"/>
      <c r="BG433" s="112"/>
      <c r="BH433" s="112"/>
      <c r="BI433" s="112"/>
    </row>
    <row r="434" ht="15.75" customHeight="1"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W434" s="112"/>
      <c r="AX434" s="112"/>
      <c r="BA434" s="112"/>
      <c r="BF434" s="112"/>
      <c r="BG434" s="112"/>
      <c r="BH434" s="112"/>
      <c r="BI434" s="112"/>
    </row>
    <row r="435" ht="15.75" customHeight="1"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W435" s="112"/>
      <c r="AX435" s="112"/>
      <c r="BA435" s="112"/>
      <c r="BF435" s="112"/>
      <c r="BG435" s="112"/>
      <c r="BH435" s="112"/>
      <c r="BI435" s="112"/>
    </row>
    <row r="436" ht="15.75" customHeight="1"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W436" s="112"/>
      <c r="AX436" s="112"/>
      <c r="BA436" s="112"/>
      <c r="BF436" s="112"/>
      <c r="BG436" s="112"/>
      <c r="BH436" s="112"/>
      <c r="BI436" s="112"/>
    </row>
    <row r="437" ht="15.75" customHeight="1"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W437" s="112"/>
      <c r="AX437" s="112"/>
      <c r="BA437" s="112"/>
      <c r="BF437" s="112"/>
      <c r="BG437" s="112"/>
      <c r="BH437" s="112"/>
      <c r="BI437" s="112"/>
    </row>
    <row r="438" ht="15.75" customHeight="1"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W438" s="112"/>
      <c r="AX438" s="112"/>
      <c r="BA438" s="112"/>
      <c r="BF438" s="112"/>
      <c r="BG438" s="112"/>
      <c r="BH438" s="112"/>
      <c r="BI438" s="112"/>
    </row>
    <row r="439" ht="15.75" customHeight="1"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W439" s="112"/>
      <c r="AX439" s="112"/>
      <c r="BA439" s="112"/>
      <c r="BF439" s="112"/>
      <c r="BG439" s="112"/>
      <c r="BH439" s="112"/>
      <c r="BI439" s="112"/>
    </row>
    <row r="440" ht="15.75" customHeight="1"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W440" s="112"/>
      <c r="AX440" s="112"/>
      <c r="BA440" s="112"/>
      <c r="BF440" s="112"/>
      <c r="BG440" s="112"/>
      <c r="BH440" s="112"/>
      <c r="BI440" s="112"/>
    </row>
    <row r="441" ht="15.75" customHeight="1"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W441" s="112"/>
      <c r="AX441" s="112"/>
      <c r="BA441" s="112"/>
      <c r="BF441" s="112"/>
      <c r="BG441" s="112"/>
      <c r="BH441" s="112"/>
      <c r="BI441" s="112"/>
    </row>
    <row r="442" ht="15.75" customHeight="1"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W442" s="112"/>
      <c r="AX442" s="112"/>
      <c r="BA442" s="112"/>
      <c r="BF442" s="112"/>
      <c r="BG442" s="112"/>
      <c r="BH442" s="112"/>
      <c r="BI442" s="112"/>
    </row>
    <row r="443" ht="15.75" customHeight="1"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W443" s="112"/>
      <c r="AX443" s="112"/>
      <c r="BA443" s="112"/>
      <c r="BF443" s="112"/>
      <c r="BG443" s="112"/>
      <c r="BH443" s="112"/>
      <c r="BI443" s="112"/>
    </row>
    <row r="444" ht="15.75" customHeight="1"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W444" s="112"/>
      <c r="AX444" s="112"/>
      <c r="BA444" s="112"/>
      <c r="BF444" s="112"/>
      <c r="BG444" s="112"/>
      <c r="BH444" s="112"/>
      <c r="BI444" s="112"/>
    </row>
    <row r="445" ht="15.75" customHeight="1"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W445" s="112"/>
      <c r="AX445" s="112"/>
      <c r="BA445" s="112"/>
      <c r="BF445" s="112"/>
      <c r="BG445" s="112"/>
      <c r="BH445" s="112"/>
      <c r="BI445" s="112"/>
    </row>
    <row r="446" ht="15.75" customHeight="1"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W446" s="112"/>
      <c r="AX446" s="112"/>
      <c r="BA446" s="112"/>
      <c r="BF446" s="112"/>
      <c r="BG446" s="112"/>
      <c r="BH446" s="112"/>
      <c r="BI446" s="112"/>
    </row>
    <row r="447" ht="15.75" customHeight="1"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W447" s="112"/>
      <c r="AX447" s="112"/>
      <c r="BA447" s="112"/>
      <c r="BF447" s="112"/>
      <c r="BG447" s="112"/>
      <c r="BH447" s="112"/>
      <c r="BI447" s="112"/>
    </row>
    <row r="448" ht="15.75" customHeight="1"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W448" s="112"/>
      <c r="AX448" s="112"/>
      <c r="BA448" s="112"/>
      <c r="BF448" s="112"/>
      <c r="BG448" s="112"/>
      <c r="BH448" s="112"/>
      <c r="BI448" s="112"/>
    </row>
    <row r="449" ht="15.75" customHeight="1"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W449" s="112"/>
      <c r="AX449" s="112"/>
      <c r="BA449" s="112"/>
      <c r="BF449" s="112"/>
      <c r="BG449" s="112"/>
      <c r="BH449" s="112"/>
      <c r="BI449" s="112"/>
    </row>
    <row r="450" ht="15.75" customHeight="1"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W450" s="112"/>
      <c r="AX450" s="112"/>
      <c r="BA450" s="112"/>
      <c r="BF450" s="112"/>
      <c r="BG450" s="112"/>
      <c r="BH450" s="112"/>
      <c r="BI450" s="112"/>
    </row>
    <row r="451" ht="15.75" customHeight="1"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W451" s="112"/>
      <c r="AX451" s="112"/>
      <c r="BA451" s="112"/>
      <c r="BF451" s="112"/>
      <c r="BG451" s="112"/>
      <c r="BH451" s="112"/>
      <c r="BI451" s="112"/>
    </row>
    <row r="452" ht="15.75" customHeight="1"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W452" s="112"/>
      <c r="AX452" s="112"/>
      <c r="BA452" s="112"/>
      <c r="BF452" s="112"/>
      <c r="BG452" s="112"/>
      <c r="BH452" s="112"/>
      <c r="BI452" s="112"/>
    </row>
    <row r="453" ht="15.75" customHeight="1"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W453" s="112"/>
      <c r="AX453" s="112"/>
      <c r="BA453" s="112"/>
      <c r="BF453" s="112"/>
      <c r="BG453" s="112"/>
      <c r="BH453" s="112"/>
      <c r="BI453" s="112"/>
    </row>
    <row r="454" ht="15.75" customHeight="1"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W454" s="112"/>
      <c r="AX454" s="112"/>
      <c r="BA454" s="112"/>
      <c r="BF454" s="112"/>
      <c r="BG454" s="112"/>
      <c r="BH454" s="112"/>
      <c r="BI454" s="112"/>
    </row>
    <row r="455" ht="15.75" customHeight="1"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W455" s="112"/>
      <c r="AX455" s="112"/>
      <c r="BA455" s="112"/>
      <c r="BF455" s="112"/>
      <c r="BG455" s="112"/>
      <c r="BH455" s="112"/>
      <c r="BI455" s="112"/>
    </row>
    <row r="456" ht="15.75" customHeight="1"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W456" s="112"/>
      <c r="AX456" s="112"/>
      <c r="BA456" s="112"/>
      <c r="BF456" s="112"/>
      <c r="BG456" s="112"/>
      <c r="BH456" s="112"/>
      <c r="BI456" s="112"/>
    </row>
    <row r="457" ht="15.75" customHeight="1"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W457" s="112"/>
      <c r="AX457" s="112"/>
      <c r="BA457" s="112"/>
      <c r="BF457" s="112"/>
      <c r="BG457" s="112"/>
      <c r="BH457" s="112"/>
      <c r="BI457" s="112"/>
    </row>
    <row r="458" ht="15.75" customHeight="1"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W458" s="112"/>
      <c r="AX458" s="112"/>
      <c r="BA458" s="112"/>
      <c r="BF458" s="112"/>
      <c r="BG458" s="112"/>
      <c r="BH458" s="112"/>
      <c r="BI458" s="112"/>
    </row>
    <row r="459" ht="15.75" customHeight="1"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W459" s="112"/>
      <c r="AX459" s="112"/>
      <c r="BA459" s="112"/>
      <c r="BF459" s="112"/>
      <c r="BG459" s="112"/>
      <c r="BH459" s="112"/>
      <c r="BI459" s="112"/>
    </row>
    <row r="460" ht="15.75" customHeight="1"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W460" s="112"/>
      <c r="AX460" s="112"/>
      <c r="BA460" s="112"/>
      <c r="BF460" s="112"/>
      <c r="BG460" s="112"/>
      <c r="BH460" s="112"/>
      <c r="BI460" s="112"/>
    </row>
    <row r="461" ht="15.75" customHeight="1"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W461" s="112"/>
      <c r="AX461" s="112"/>
      <c r="BA461" s="112"/>
      <c r="BF461" s="112"/>
      <c r="BG461" s="112"/>
      <c r="BH461" s="112"/>
      <c r="BI461" s="112"/>
    </row>
    <row r="462" ht="15.75" customHeight="1"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W462" s="112"/>
      <c r="AX462" s="112"/>
      <c r="BA462" s="112"/>
      <c r="BF462" s="112"/>
      <c r="BG462" s="112"/>
      <c r="BH462" s="112"/>
      <c r="BI462" s="112"/>
    </row>
    <row r="463" ht="15.75" customHeight="1"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W463" s="112"/>
      <c r="AX463" s="112"/>
      <c r="BA463" s="112"/>
      <c r="BF463" s="112"/>
      <c r="BG463" s="112"/>
      <c r="BH463" s="112"/>
      <c r="BI463" s="112"/>
    </row>
    <row r="464" ht="15.75" customHeight="1"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W464" s="112"/>
      <c r="AX464" s="112"/>
      <c r="BA464" s="112"/>
      <c r="BF464" s="112"/>
      <c r="BG464" s="112"/>
      <c r="BH464" s="112"/>
      <c r="BI464" s="112"/>
    </row>
    <row r="465" ht="15.75" customHeight="1"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W465" s="112"/>
      <c r="AX465" s="112"/>
      <c r="BA465" s="112"/>
      <c r="BF465" s="112"/>
      <c r="BG465" s="112"/>
      <c r="BH465" s="112"/>
      <c r="BI465" s="112"/>
    </row>
    <row r="466" ht="15.75" customHeight="1"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W466" s="112"/>
      <c r="AX466" s="112"/>
      <c r="BA466" s="112"/>
      <c r="BF466" s="112"/>
      <c r="BG466" s="112"/>
      <c r="BH466" s="112"/>
      <c r="BI466" s="112"/>
    </row>
    <row r="467" ht="15.75" customHeight="1"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W467" s="112"/>
      <c r="AX467" s="112"/>
      <c r="BA467" s="112"/>
      <c r="BF467" s="112"/>
      <c r="BG467" s="112"/>
      <c r="BH467" s="112"/>
      <c r="BI467" s="112"/>
    </row>
    <row r="468" ht="15.75" customHeight="1"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W468" s="112"/>
      <c r="AX468" s="112"/>
      <c r="BA468" s="112"/>
      <c r="BF468" s="112"/>
      <c r="BG468" s="112"/>
      <c r="BH468" s="112"/>
      <c r="BI468" s="112"/>
    </row>
    <row r="469" ht="15.75" customHeight="1"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W469" s="112"/>
      <c r="AX469" s="112"/>
      <c r="BA469" s="112"/>
      <c r="BF469" s="112"/>
      <c r="BG469" s="112"/>
      <c r="BH469" s="112"/>
      <c r="BI469" s="112"/>
    </row>
    <row r="470" ht="15.75" customHeight="1"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W470" s="112"/>
      <c r="AX470" s="112"/>
      <c r="BA470" s="112"/>
      <c r="BF470" s="112"/>
      <c r="BG470" s="112"/>
      <c r="BH470" s="112"/>
      <c r="BI470" s="112"/>
    </row>
    <row r="471" ht="15.75" customHeight="1"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W471" s="112"/>
      <c r="AX471" s="112"/>
      <c r="BA471" s="112"/>
      <c r="BF471" s="112"/>
      <c r="BG471" s="112"/>
      <c r="BH471" s="112"/>
      <c r="BI471" s="112"/>
    </row>
    <row r="472" ht="15.75" customHeight="1"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W472" s="112"/>
      <c r="AX472" s="112"/>
      <c r="BA472" s="112"/>
      <c r="BF472" s="112"/>
      <c r="BG472" s="112"/>
      <c r="BH472" s="112"/>
      <c r="BI472" s="112"/>
    </row>
    <row r="473" ht="15.75" customHeight="1"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W473" s="112"/>
      <c r="AX473" s="112"/>
      <c r="BA473" s="112"/>
      <c r="BF473" s="112"/>
      <c r="BG473" s="112"/>
      <c r="BH473" s="112"/>
      <c r="BI473" s="112"/>
    </row>
    <row r="474" ht="15.75" customHeight="1"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W474" s="112"/>
      <c r="AX474" s="112"/>
      <c r="BA474" s="112"/>
      <c r="BF474" s="112"/>
      <c r="BG474" s="112"/>
      <c r="BH474" s="112"/>
      <c r="BI474" s="112"/>
    </row>
    <row r="475" ht="15.75" customHeight="1"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T475" s="112"/>
      <c r="AW475" s="112"/>
      <c r="AX475" s="112"/>
      <c r="BA475" s="112"/>
      <c r="BF475" s="112"/>
      <c r="BG475" s="112"/>
      <c r="BH475" s="112"/>
      <c r="BI475" s="112"/>
    </row>
    <row r="476" ht="15.75" customHeight="1"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W476" s="112"/>
      <c r="AX476" s="112"/>
      <c r="BA476" s="112"/>
      <c r="BF476" s="112"/>
      <c r="BG476" s="112"/>
      <c r="BH476" s="112"/>
      <c r="BI476" s="112"/>
    </row>
    <row r="477" ht="15.75" customHeight="1"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T477" s="112"/>
      <c r="AW477" s="112"/>
      <c r="AX477" s="112"/>
      <c r="BA477" s="112"/>
      <c r="BF477" s="112"/>
      <c r="BG477" s="112"/>
      <c r="BH477" s="112"/>
      <c r="BI477" s="112"/>
    </row>
    <row r="478" ht="15.75" customHeight="1"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W478" s="112"/>
      <c r="AX478" s="112"/>
      <c r="BA478" s="112"/>
      <c r="BF478" s="112"/>
      <c r="BG478" s="112"/>
      <c r="BH478" s="112"/>
      <c r="BI478" s="112"/>
    </row>
    <row r="479" ht="15.75" customHeight="1"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W479" s="112"/>
      <c r="AX479" s="112"/>
      <c r="BA479" s="112"/>
      <c r="BF479" s="112"/>
      <c r="BG479" s="112"/>
      <c r="BH479" s="112"/>
      <c r="BI479" s="112"/>
    </row>
    <row r="480" ht="15.75" customHeight="1"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W480" s="112"/>
      <c r="AX480" s="112"/>
      <c r="BA480" s="112"/>
      <c r="BF480" s="112"/>
      <c r="BG480" s="112"/>
      <c r="BH480" s="112"/>
      <c r="BI480" s="112"/>
    </row>
    <row r="481" ht="15.75" customHeight="1"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T481" s="112"/>
      <c r="AW481" s="112"/>
      <c r="AX481" s="112"/>
      <c r="BA481" s="112"/>
      <c r="BF481" s="112"/>
      <c r="BG481" s="112"/>
      <c r="BH481" s="112"/>
      <c r="BI481" s="112"/>
    </row>
    <row r="482" ht="15.75" customHeight="1"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/>
      <c r="AW482" s="112"/>
      <c r="AX482" s="112"/>
      <c r="BA482" s="112"/>
      <c r="BF482" s="112"/>
      <c r="BG482" s="112"/>
      <c r="BH482" s="112"/>
      <c r="BI482" s="112"/>
    </row>
    <row r="483" ht="15.75" customHeight="1"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T483" s="112"/>
      <c r="AW483" s="112"/>
      <c r="AX483" s="112"/>
      <c r="BA483" s="112"/>
      <c r="BF483" s="112"/>
      <c r="BG483" s="112"/>
      <c r="BH483" s="112"/>
      <c r="BI483" s="112"/>
    </row>
    <row r="484" ht="15.75" customHeight="1"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W484" s="112"/>
      <c r="AX484" s="112"/>
      <c r="BA484" s="112"/>
      <c r="BF484" s="112"/>
      <c r="BG484" s="112"/>
      <c r="BH484" s="112"/>
      <c r="BI484" s="112"/>
    </row>
    <row r="485" ht="15.75" customHeight="1"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T485" s="112"/>
      <c r="AW485" s="112"/>
      <c r="AX485" s="112"/>
      <c r="BA485" s="112"/>
      <c r="BF485" s="112"/>
      <c r="BG485" s="112"/>
      <c r="BH485" s="112"/>
      <c r="BI485" s="112"/>
    </row>
    <row r="486" ht="15.75" customHeight="1"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T486" s="112"/>
      <c r="AW486" s="112"/>
      <c r="AX486" s="112"/>
      <c r="BA486" s="112"/>
      <c r="BF486" s="112"/>
      <c r="BG486" s="112"/>
      <c r="BH486" s="112"/>
      <c r="BI486" s="112"/>
    </row>
    <row r="487" ht="15.75" customHeight="1"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W487" s="112"/>
      <c r="AX487" s="112"/>
      <c r="BA487" s="112"/>
      <c r="BF487" s="112"/>
      <c r="BG487" s="112"/>
      <c r="BH487" s="112"/>
      <c r="BI487" s="112"/>
    </row>
    <row r="488" ht="15.75" customHeight="1"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W488" s="112"/>
      <c r="AX488" s="112"/>
      <c r="BA488" s="112"/>
      <c r="BF488" s="112"/>
      <c r="BG488" s="112"/>
      <c r="BH488" s="112"/>
      <c r="BI488" s="112"/>
    </row>
    <row r="489" ht="15.75" customHeight="1"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T489" s="112"/>
      <c r="AW489" s="112"/>
      <c r="AX489" s="112"/>
      <c r="BA489" s="112"/>
      <c r="BF489" s="112"/>
      <c r="BG489" s="112"/>
      <c r="BH489" s="112"/>
      <c r="BI489" s="112"/>
    </row>
    <row r="490" ht="15.75" customHeight="1"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W490" s="112"/>
      <c r="AX490" s="112"/>
      <c r="BA490" s="112"/>
      <c r="BF490" s="112"/>
      <c r="BG490" s="112"/>
      <c r="BH490" s="112"/>
      <c r="BI490" s="112"/>
    </row>
    <row r="491" ht="15.75" customHeight="1"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W491" s="112"/>
      <c r="AX491" s="112"/>
      <c r="BA491" s="112"/>
      <c r="BF491" s="112"/>
      <c r="BG491" s="112"/>
      <c r="BH491" s="112"/>
      <c r="BI491" s="112"/>
    </row>
    <row r="492" ht="15.75" customHeight="1"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W492" s="112"/>
      <c r="AX492" s="112"/>
      <c r="BA492" s="112"/>
      <c r="BF492" s="112"/>
      <c r="BG492" s="112"/>
      <c r="BH492" s="112"/>
      <c r="BI492" s="112"/>
    </row>
    <row r="493" ht="15.75" customHeight="1"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T493" s="112"/>
      <c r="AW493" s="112"/>
      <c r="AX493" s="112"/>
      <c r="BA493" s="112"/>
      <c r="BF493" s="112"/>
      <c r="BG493" s="112"/>
      <c r="BH493" s="112"/>
      <c r="BI493" s="112"/>
    </row>
    <row r="494" ht="15.75" customHeight="1"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W494" s="112"/>
      <c r="AX494" s="112"/>
      <c r="BA494" s="112"/>
      <c r="BF494" s="112"/>
      <c r="BG494" s="112"/>
      <c r="BH494" s="112"/>
      <c r="BI494" s="112"/>
    </row>
    <row r="495" ht="15.75" customHeight="1"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T495" s="112"/>
      <c r="AW495" s="112"/>
      <c r="AX495" s="112"/>
      <c r="BA495" s="112"/>
      <c r="BF495" s="112"/>
      <c r="BG495" s="112"/>
      <c r="BH495" s="112"/>
      <c r="BI495" s="112"/>
    </row>
    <row r="496" ht="15.75" customHeight="1"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T496" s="112"/>
      <c r="AW496" s="112"/>
      <c r="AX496" s="112"/>
      <c r="BA496" s="112"/>
      <c r="BF496" s="112"/>
      <c r="BG496" s="112"/>
      <c r="BH496" s="112"/>
      <c r="BI496" s="112"/>
    </row>
    <row r="497" ht="15.75" customHeight="1"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T497" s="112"/>
      <c r="AW497" s="112"/>
      <c r="AX497" s="112"/>
      <c r="BA497" s="112"/>
      <c r="BF497" s="112"/>
      <c r="BG497" s="112"/>
      <c r="BH497" s="112"/>
      <c r="BI497" s="112"/>
    </row>
    <row r="498" ht="15.75" customHeight="1"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W498" s="112"/>
      <c r="AX498" s="112"/>
      <c r="BA498" s="112"/>
      <c r="BF498" s="112"/>
      <c r="BG498" s="112"/>
      <c r="BH498" s="112"/>
      <c r="BI498" s="112"/>
    </row>
    <row r="499" ht="15.75" customHeight="1"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T499" s="112"/>
      <c r="AW499" s="112"/>
      <c r="AX499" s="112"/>
      <c r="BA499" s="112"/>
      <c r="BF499" s="112"/>
      <c r="BG499" s="112"/>
      <c r="BH499" s="112"/>
      <c r="BI499" s="112"/>
    </row>
    <row r="500" ht="15.75" customHeight="1"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W500" s="112"/>
      <c r="AX500" s="112"/>
      <c r="BA500" s="112"/>
      <c r="BF500" s="112"/>
      <c r="BG500" s="112"/>
      <c r="BH500" s="112"/>
      <c r="BI500" s="112"/>
    </row>
    <row r="501" ht="15.75" customHeight="1"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T501" s="112"/>
      <c r="AW501" s="112"/>
      <c r="AX501" s="112"/>
      <c r="BA501" s="112"/>
      <c r="BF501" s="112"/>
      <c r="BG501" s="112"/>
      <c r="BH501" s="112"/>
      <c r="BI501" s="112"/>
    </row>
    <row r="502" ht="15.75" customHeight="1"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W502" s="112"/>
      <c r="AX502" s="112"/>
      <c r="BA502" s="112"/>
      <c r="BF502" s="112"/>
      <c r="BG502" s="112"/>
      <c r="BH502" s="112"/>
      <c r="BI502" s="112"/>
    </row>
    <row r="503" ht="15.75" customHeight="1"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T503" s="112"/>
      <c r="AW503" s="112"/>
      <c r="AX503" s="112"/>
      <c r="BA503" s="112"/>
      <c r="BF503" s="112"/>
      <c r="BG503" s="112"/>
      <c r="BH503" s="112"/>
      <c r="BI503" s="112"/>
    </row>
    <row r="504" ht="15.75" customHeight="1"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W504" s="112"/>
      <c r="AX504" s="112"/>
      <c r="BA504" s="112"/>
      <c r="BF504" s="112"/>
      <c r="BG504" s="112"/>
      <c r="BH504" s="112"/>
      <c r="BI504" s="112"/>
    </row>
    <row r="505" ht="15.75" customHeight="1"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T505" s="112"/>
      <c r="AW505" s="112"/>
      <c r="AX505" s="112"/>
      <c r="BA505" s="112"/>
      <c r="BF505" s="112"/>
      <c r="BG505" s="112"/>
      <c r="BH505" s="112"/>
      <c r="BI505" s="112"/>
    </row>
    <row r="506" ht="15.75" customHeight="1"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W506" s="112"/>
      <c r="AX506" s="112"/>
      <c r="BA506" s="112"/>
      <c r="BF506" s="112"/>
      <c r="BG506" s="112"/>
      <c r="BH506" s="112"/>
      <c r="BI506" s="112"/>
    </row>
    <row r="507" ht="15.75" customHeight="1"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T507" s="112"/>
      <c r="AW507" s="112"/>
      <c r="AX507" s="112"/>
      <c r="BA507" s="112"/>
      <c r="BF507" s="112"/>
      <c r="BG507" s="112"/>
      <c r="BH507" s="112"/>
      <c r="BI507" s="112"/>
    </row>
    <row r="508" ht="15.75" customHeight="1"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W508" s="112"/>
      <c r="AX508" s="112"/>
      <c r="BA508" s="112"/>
      <c r="BF508" s="112"/>
      <c r="BG508" s="112"/>
      <c r="BH508" s="112"/>
      <c r="BI508" s="112"/>
    </row>
    <row r="509" ht="15.75" customHeight="1"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T509" s="112"/>
      <c r="AW509" s="112"/>
      <c r="AX509" s="112"/>
      <c r="BA509" s="112"/>
      <c r="BF509" s="112"/>
      <c r="BG509" s="112"/>
      <c r="BH509" s="112"/>
      <c r="BI509" s="112"/>
    </row>
    <row r="510" ht="15.75" customHeight="1"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W510" s="112"/>
      <c r="AX510" s="112"/>
      <c r="BA510" s="112"/>
      <c r="BF510" s="112"/>
      <c r="BG510" s="112"/>
      <c r="BH510" s="112"/>
      <c r="BI510" s="112"/>
    </row>
    <row r="511" ht="15.75" customHeight="1"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T511" s="112"/>
      <c r="AW511" s="112"/>
      <c r="AX511" s="112"/>
      <c r="BA511" s="112"/>
      <c r="BF511" s="112"/>
      <c r="BG511" s="112"/>
      <c r="BH511" s="112"/>
      <c r="BI511" s="112"/>
    </row>
    <row r="512" ht="15.75" customHeight="1"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W512" s="112"/>
      <c r="AX512" s="112"/>
      <c r="BA512" s="112"/>
      <c r="BF512" s="112"/>
      <c r="BG512" s="112"/>
      <c r="BH512" s="112"/>
      <c r="BI512" s="112"/>
    </row>
    <row r="513" ht="15.75" customHeight="1"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W513" s="112"/>
      <c r="AX513" s="112"/>
      <c r="BA513" s="112"/>
      <c r="BF513" s="112"/>
      <c r="BG513" s="112"/>
      <c r="BH513" s="112"/>
      <c r="BI513" s="112"/>
    </row>
    <row r="514" ht="15.75" customHeight="1"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T514" s="112"/>
      <c r="AW514" s="112"/>
      <c r="AX514" s="112"/>
      <c r="BA514" s="112"/>
      <c r="BF514" s="112"/>
      <c r="BG514" s="112"/>
      <c r="BH514" s="112"/>
      <c r="BI514" s="112"/>
    </row>
    <row r="515" ht="15.75" customHeight="1"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T515" s="112"/>
      <c r="AW515" s="112"/>
      <c r="AX515" s="112"/>
      <c r="BA515" s="112"/>
      <c r="BF515" s="112"/>
      <c r="BG515" s="112"/>
      <c r="BH515" s="112"/>
      <c r="BI515" s="112"/>
    </row>
    <row r="516" ht="15.75" customHeight="1"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T516" s="112"/>
      <c r="AW516" s="112"/>
      <c r="AX516" s="112"/>
      <c r="BA516" s="112"/>
      <c r="BF516" s="112"/>
      <c r="BG516" s="112"/>
      <c r="BH516" s="112"/>
      <c r="BI516" s="112"/>
    </row>
    <row r="517" ht="15.75" customHeight="1"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T517" s="112"/>
      <c r="AW517" s="112"/>
      <c r="AX517" s="112"/>
      <c r="BA517" s="112"/>
      <c r="BF517" s="112"/>
      <c r="BG517" s="112"/>
      <c r="BH517" s="112"/>
      <c r="BI517" s="112"/>
    </row>
    <row r="518" ht="15.75" customHeight="1"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T518" s="112"/>
      <c r="AW518" s="112"/>
      <c r="AX518" s="112"/>
      <c r="BA518" s="112"/>
      <c r="BF518" s="112"/>
      <c r="BG518" s="112"/>
      <c r="BH518" s="112"/>
      <c r="BI518" s="112"/>
    </row>
    <row r="519" ht="15.75" customHeight="1"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T519" s="112"/>
      <c r="AW519" s="112"/>
      <c r="AX519" s="112"/>
      <c r="BA519" s="112"/>
      <c r="BF519" s="112"/>
      <c r="BG519" s="112"/>
      <c r="BH519" s="112"/>
      <c r="BI519" s="112"/>
    </row>
    <row r="520" ht="15.75" customHeight="1"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T520" s="112"/>
      <c r="AW520" s="112"/>
      <c r="AX520" s="112"/>
      <c r="BA520" s="112"/>
      <c r="BF520" s="112"/>
      <c r="BG520" s="112"/>
      <c r="BH520" s="112"/>
      <c r="BI520" s="112"/>
    </row>
    <row r="521" ht="15.75" customHeight="1"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T521" s="112"/>
      <c r="AW521" s="112"/>
      <c r="AX521" s="112"/>
      <c r="BA521" s="112"/>
      <c r="BF521" s="112"/>
      <c r="BG521" s="112"/>
      <c r="BH521" s="112"/>
      <c r="BI521" s="112"/>
    </row>
    <row r="522" ht="15.75" customHeight="1"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T522" s="112"/>
      <c r="AW522" s="112"/>
      <c r="AX522" s="112"/>
      <c r="BA522" s="112"/>
      <c r="BF522" s="112"/>
      <c r="BG522" s="112"/>
      <c r="BH522" s="112"/>
      <c r="BI522" s="112"/>
    </row>
    <row r="523" ht="15.75" customHeight="1"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T523" s="112"/>
      <c r="AW523" s="112"/>
      <c r="AX523" s="112"/>
      <c r="BA523" s="112"/>
      <c r="BF523" s="112"/>
      <c r="BG523" s="112"/>
      <c r="BH523" s="112"/>
      <c r="BI523" s="112"/>
    </row>
    <row r="524" ht="15.75" customHeight="1"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T524" s="112"/>
      <c r="AW524" s="112"/>
      <c r="AX524" s="112"/>
      <c r="BA524" s="112"/>
      <c r="BF524" s="112"/>
      <c r="BG524" s="112"/>
      <c r="BH524" s="112"/>
      <c r="BI524" s="112"/>
    </row>
    <row r="525" ht="15.75" customHeight="1"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T525" s="112"/>
      <c r="AW525" s="112"/>
      <c r="AX525" s="112"/>
      <c r="BA525" s="112"/>
      <c r="BF525" s="112"/>
      <c r="BG525" s="112"/>
      <c r="BH525" s="112"/>
      <c r="BI525" s="112"/>
    </row>
    <row r="526" ht="15.75" customHeight="1"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W526" s="112"/>
      <c r="AX526" s="112"/>
      <c r="BA526" s="112"/>
      <c r="BF526" s="112"/>
      <c r="BG526" s="112"/>
      <c r="BH526" s="112"/>
      <c r="BI526" s="112"/>
    </row>
    <row r="527" ht="15.75" customHeight="1"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T527" s="112"/>
      <c r="AW527" s="112"/>
      <c r="AX527" s="112"/>
      <c r="BA527" s="112"/>
      <c r="BF527" s="112"/>
      <c r="BG527" s="112"/>
      <c r="BH527" s="112"/>
      <c r="BI527" s="112"/>
    </row>
    <row r="528" ht="15.75" customHeight="1"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/>
      <c r="AW528" s="112"/>
      <c r="AX528" s="112"/>
      <c r="BA528" s="112"/>
      <c r="BF528" s="112"/>
      <c r="BG528" s="112"/>
      <c r="BH528" s="112"/>
      <c r="BI528" s="112"/>
    </row>
    <row r="529" ht="15.75" customHeight="1"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T529" s="112"/>
      <c r="AW529" s="112"/>
      <c r="AX529" s="112"/>
      <c r="BA529" s="112"/>
      <c r="BF529" s="112"/>
      <c r="BG529" s="112"/>
      <c r="BH529" s="112"/>
      <c r="BI529" s="112"/>
    </row>
    <row r="530" ht="15.75" customHeight="1"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W530" s="112"/>
      <c r="AX530" s="112"/>
      <c r="BA530" s="112"/>
      <c r="BF530" s="112"/>
      <c r="BG530" s="112"/>
      <c r="BH530" s="112"/>
      <c r="BI530" s="112"/>
    </row>
    <row r="531" ht="15.75" customHeight="1"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W531" s="112"/>
      <c r="AX531" s="112"/>
      <c r="BA531" s="112"/>
      <c r="BF531" s="112"/>
      <c r="BG531" s="112"/>
      <c r="BH531" s="112"/>
      <c r="BI531" s="112"/>
    </row>
    <row r="532" ht="15.75" customHeight="1"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T532" s="112"/>
      <c r="AW532" s="112"/>
      <c r="AX532" s="112"/>
      <c r="BA532" s="112"/>
      <c r="BF532" s="112"/>
      <c r="BG532" s="112"/>
      <c r="BH532" s="112"/>
      <c r="BI532" s="112"/>
    </row>
    <row r="533" ht="15.75" customHeight="1"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T533" s="112"/>
      <c r="AW533" s="112"/>
      <c r="AX533" s="112"/>
      <c r="BA533" s="112"/>
      <c r="BF533" s="112"/>
      <c r="BG533" s="112"/>
      <c r="BH533" s="112"/>
      <c r="BI533" s="112"/>
    </row>
    <row r="534" ht="15.75" customHeight="1"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W534" s="112"/>
      <c r="AX534" s="112"/>
      <c r="BA534" s="112"/>
      <c r="BF534" s="112"/>
      <c r="BG534" s="112"/>
      <c r="BH534" s="112"/>
      <c r="BI534" s="112"/>
    </row>
    <row r="535" ht="15.75" customHeight="1"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T535" s="112"/>
      <c r="AW535" s="112"/>
      <c r="AX535" s="112"/>
      <c r="BA535" s="112"/>
      <c r="BF535" s="112"/>
      <c r="BG535" s="112"/>
      <c r="BH535" s="112"/>
      <c r="BI535" s="112"/>
    </row>
    <row r="536" ht="15.75" customHeight="1"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T536" s="112"/>
      <c r="AW536" s="112"/>
      <c r="AX536" s="112"/>
      <c r="BA536" s="112"/>
      <c r="BF536" s="112"/>
      <c r="BG536" s="112"/>
      <c r="BH536" s="112"/>
      <c r="BI536" s="112"/>
    </row>
    <row r="537" ht="15.75" customHeight="1"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T537" s="112"/>
      <c r="AW537" s="112"/>
      <c r="AX537" s="112"/>
      <c r="BA537" s="112"/>
      <c r="BF537" s="112"/>
      <c r="BG537" s="112"/>
      <c r="BH537" s="112"/>
      <c r="BI537" s="112"/>
    </row>
    <row r="538" ht="15.75" customHeight="1"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T538" s="112"/>
      <c r="AW538" s="112"/>
      <c r="AX538" s="112"/>
      <c r="BA538" s="112"/>
      <c r="BF538" s="112"/>
      <c r="BG538" s="112"/>
      <c r="BH538" s="112"/>
      <c r="BI538" s="112"/>
    </row>
    <row r="539" ht="15.75" customHeight="1"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T539" s="112"/>
      <c r="AW539" s="112"/>
      <c r="AX539" s="112"/>
      <c r="BA539" s="112"/>
      <c r="BF539" s="112"/>
      <c r="BG539" s="112"/>
      <c r="BH539" s="112"/>
      <c r="BI539" s="112"/>
    </row>
    <row r="540" ht="15.75" customHeight="1"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T540" s="112"/>
      <c r="AW540" s="112"/>
      <c r="AX540" s="112"/>
      <c r="BA540" s="112"/>
      <c r="BF540" s="112"/>
      <c r="BG540" s="112"/>
      <c r="BH540" s="112"/>
      <c r="BI540" s="112"/>
    </row>
    <row r="541" ht="15.75" customHeight="1"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T541" s="112"/>
      <c r="AW541" s="112"/>
      <c r="AX541" s="112"/>
      <c r="BA541" s="112"/>
      <c r="BF541" s="112"/>
      <c r="BG541" s="112"/>
      <c r="BH541" s="112"/>
      <c r="BI541" s="112"/>
    </row>
    <row r="542" ht="15.75" customHeight="1"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T542" s="112"/>
      <c r="AW542" s="112"/>
      <c r="AX542" s="112"/>
      <c r="BA542" s="112"/>
      <c r="BF542" s="112"/>
      <c r="BG542" s="112"/>
      <c r="BH542" s="112"/>
      <c r="BI542" s="112"/>
    </row>
    <row r="543" ht="15.75" customHeight="1"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T543" s="112"/>
      <c r="AW543" s="112"/>
      <c r="AX543" s="112"/>
      <c r="BA543" s="112"/>
      <c r="BF543" s="112"/>
      <c r="BG543" s="112"/>
      <c r="BH543" s="112"/>
      <c r="BI543" s="112"/>
    </row>
    <row r="544" ht="15.75" customHeight="1"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T544" s="112"/>
      <c r="AW544" s="112"/>
      <c r="AX544" s="112"/>
      <c r="BA544" s="112"/>
      <c r="BF544" s="112"/>
      <c r="BG544" s="112"/>
      <c r="BH544" s="112"/>
      <c r="BI544" s="112"/>
    </row>
    <row r="545" ht="15.75" customHeight="1"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T545" s="112"/>
      <c r="AW545" s="112"/>
      <c r="AX545" s="112"/>
      <c r="BA545" s="112"/>
      <c r="BF545" s="112"/>
      <c r="BG545" s="112"/>
      <c r="BH545" s="112"/>
      <c r="BI545" s="112"/>
    </row>
    <row r="546" ht="15.75" customHeight="1"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T546" s="112"/>
      <c r="AW546" s="112"/>
      <c r="AX546" s="112"/>
      <c r="BA546" s="112"/>
      <c r="BF546" s="112"/>
      <c r="BG546" s="112"/>
      <c r="BH546" s="112"/>
      <c r="BI546" s="112"/>
    </row>
    <row r="547" ht="15.75" customHeight="1"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T547" s="112"/>
      <c r="AW547" s="112"/>
      <c r="AX547" s="112"/>
      <c r="BA547" s="112"/>
      <c r="BF547" s="112"/>
      <c r="BG547" s="112"/>
      <c r="BH547" s="112"/>
      <c r="BI547" s="112"/>
    </row>
    <row r="548" ht="15.75" customHeight="1"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T548" s="112"/>
      <c r="AW548" s="112"/>
      <c r="AX548" s="112"/>
      <c r="BA548" s="112"/>
      <c r="BF548" s="112"/>
      <c r="BG548" s="112"/>
      <c r="BH548" s="112"/>
      <c r="BI548" s="112"/>
    </row>
    <row r="549" ht="15.75" customHeight="1"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T549" s="112"/>
      <c r="AW549" s="112"/>
      <c r="AX549" s="112"/>
      <c r="BA549" s="112"/>
      <c r="BF549" s="112"/>
      <c r="BG549" s="112"/>
      <c r="BH549" s="112"/>
      <c r="BI549" s="112"/>
    </row>
    <row r="550" ht="15.75" customHeight="1"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T550" s="112"/>
      <c r="AW550" s="112"/>
      <c r="AX550" s="112"/>
      <c r="BA550" s="112"/>
      <c r="BF550" s="112"/>
      <c r="BG550" s="112"/>
      <c r="BH550" s="112"/>
      <c r="BI550" s="112"/>
    </row>
    <row r="551" ht="15.75" customHeight="1"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T551" s="112"/>
      <c r="AW551" s="112"/>
      <c r="AX551" s="112"/>
      <c r="BA551" s="112"/>
      <c r="BF551" s="112"/>
      <c r="BG551" s="112"/>
      <c r="BH551" s="112"/>
      <c r="BI551" s="112"/>
    </row>
    <row r="552" ht="15.75" customHeight="1"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T552" s="112"/>
      <c r="AW552" s="112"/>
      <c r="AX552" s="112"/>
      <c r="BA552" s="112"/>
      <c r="BF552" s="112"/>
      <c r="BG552" s="112"/>
      <c r="BH552" s="112"/>
      <c r="BI552" s="112"/>
    </row>
    <row r="553" ht="15.75" customHeight="1"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W553" s="112"/>
      <c r="AX553" s="112"/>
      <c r="BA553" s="112"/>
      <c r="BF553" s="112"/>
      <c r="BG553" s="112"/>
      <c r="BH553" s="112"/>
      <c r="BI553" s="112"/>
    </row>
    <row r="554" ht="15.75" customHeight="1"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T554" s="112"/>
      <c r="AW554" s="112"/>
      <c r="AX554" s="112"/>
      <c r="BA554" s="112"/>
      <c r="BF554" s="112"/>
      <c r="BG554" s="112"/>
      <c r="BH554" s="112"/>
      <c r="BI554" s="112"/>
    </row>
    <row r="555" ht="15.75" customHeight="1"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T555" s="112"/>
      <c r="AW555" s="112"/>
      <c r="AX555" s="112"/>
      <c r="BA555" s="112"/>
      <c r="BF555" s="112"/>
      <c r="BG555" s="112"/>
      <c r="BH555" s="112"/>
      <c r="BI555" s="112"/>
    </row>
    <row r="556" ht="15.75" customHeight="1"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T556" s="112"/>
      <c r="AW556" s="112"/>
      <c r="AX556" s="112"/>
      <c r="BA556" s="112"/>
      <c r="BF556" s="112"/>
      <c r="BG556" s="112"/>
      <c r="BH556" s="112"/>
      <c r="BI556" s="112"/>
    </row>
    <row r="557" ht="15.75" customHeight="1"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T557" s="112"/>
      <c r="AW557" s="112"/>
      <c r="AX557" s="112"/>
      <c r="BA557" s="112"/>
      <c r="BF557" s="112"/>
      <c r="BG557" s="112"/>
      <c r="BH557" s="112"/>
      <c r="BI557" s="112"/>
    </row>
    <row r="558" ht="15.75" customHeight="1"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T558" s="112"/>
      <c r="AW558" s="112"/>
      <c r="AX558" s="112"/>
      <c r="BA558" s="112"/>
      <c r="BF558" s="112"/>
      <c r="BG558" s="112"/>
      <c r="BH558" s="112"/>
      <c r="BI558" s="112"/>
    </row>
    <row r="559" ht="15.75" customHeight="1"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T559" s="112"/>
      <c r="AW559" s="112"/>
      <c r="AX559" s="112"/>
      <c r="BA559" s="112"/>
      <c r="BF559" s="112"/>
      <c r="BG559" s="112"/>
      <c r="BH559" s="112"/>
      <c r="BI559" s="112"/>
    </row>
    <row r="560" ht="15.75" customHeight="1"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T560" s="112"/>
      <c r="AW560" s="112"/>
      <c r="AX560" s="112"/>
      <c r="BA560" s="112"/>
      <c r="BF560" s="112"/>
      <c r="BG560" s="112"/>
      <c r="BH560" s="112"/>
      <c r="BI560" s="112"/>
    </row>
    <row r="561" ht="15.75" customHeight="1"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W561" s="112"/>
      <c r="AX561" s="112"/>
      <c r="BA561" s="112"/>
      <c r="BF561" s="112"/>
      <c r="BG561" s="112"/>
      <c r="BH561" s="112"/>
      <c r="BI561" s="112"/>
    </row>
    <row r="562" ht="15.75" customHeight="1"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T562" s="112"/>
      <c r="AW562" s="112"/>
      <c r="AX562" s="112"/>
      <c r="BA562" s="112"/>
      <c r="BF562" s="112"/>
      <c r="BG562" s="112"/>
      <c r="BH562" s="112"/>
      <c r="BI562" s="112"/>
    </row>
    <row r="563" ht="15.75" customHeight="1"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T563" s="112"/>
      <c r="AW563" s="112"/>
      <c r="AX563" s="112"/>
      <c r="BA563" s="112"/>
      <c r="BF563" s="112"/>
      <c r="BG563" s="112"/>
      <c r="BH563" s="112"/>
      <c r="BI563" s="112"/>
    </row>
    <row r="564" ht="15.75" customHeight="1"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W564" s="112"/>
      <c r="AX564" s="112"/>
      <c r="BA564" s="112"/>
      <c r="BF564" s="112"/>
      <c r="BG564" s="112"/>
      <c r="BH564" s="112"/>
      <c r="BI564" s="112"/>
    </row>
    <row r="565" ht="15.75" customHeight="1"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T565" s="112"/>
      <c r="AW565" s="112"/>
      <c r="AX565" s="112"/>
      <c r="BA565" s="112"/>
      <c r="BF565" s="112"/>
      <c r="BG565" s="112"/>
      <c r="BH565" s="112"/>
      <c r="BI565" s="112"/>
    </row>
    <row r="566" ht="15.75" customHeight="1"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T566" s="112"/>
      <c r="AW566" s="112"/>
      <c r="AX566" s="112"/>
      <c r="BA566" s="112"/>
      <c r="BF566" s="112"/>
      <c r="BG566" s="112"/>
      <c r="BH566" s="112"/>
      <c r="BI566" s="112"/>
    </row>
    <row r="567" ht="15.75" customHeight="1"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T567" s="112"/>
      <c r="AW567" s="112"/>
      <c r="AX567" s="112"/>
      <c r="BA567" s="112"/>
      <c r="BF567" s="112"/>
      <c r="BG567" s="112"/>
      <c r="BH567" s="112"/>
      <c r="BI567" s="112"/>
    </row>
    <row r="568" ht="15.75" customHeight="1"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T568" s="112"/>
      <c r="AW568" s="112"/>
      <c r="AX568" s="112"/>
      <c r="BA568" s="112"/>
      <c r="BF568" s="112"/>
      <c r="BG568" s="112"/>
      <c r="BH568" s="112"/>
      <c r="BI568" s="112"/>
    </row>
    <row r="569" ht="15.75" customHeight="1"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T569" s="112"/>
      <c r="AW569" s="112"/>
      <c r="AX569" s="112"/>
      <c r="BA569" s="112"/>
      <c r="BF569" s="112"/>
      <c r="BG569" s="112"/>
      <c r="BH569" s="112"/>
      <c r="BI569" s="112"/>
    </row>
    <row r="570" ht="15.75" customHeight="1"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T570" s="112"/>
      <c r="AW570" s="112"/>
      <c r="AX570" s="112"/>
      <c r="BA570" s="112"/>
      <c r="BF570" s="112"/>
      <c r="BG570" s="112"/>
      <c r="BH570" s="112"/>
      <c r="BI570" s="112"/>
    </row>
    <row r="571" ht="15.75" customHeight="1"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W571" s="112"/>
      <c r="AX571" s="112"/>
      <c r="BA571" s="112"/>
      <c r="BF571" s="112"/>
      <c r="BG571" s="112"/>
      <c r="BH571" s="112"/>
      <c r="BI571" s="112"/>
    </row>
    <row r="572" ht="15.75" customHeight="1"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T572" s="112"/>
      <c r="AW572" s="112"/>
      <c r="AX572" s="112"/>
      <c r="BA572" s="112"/>
      <c r="BF572" s="112"/>
      <c r="BG572" s="112"/>
      <c r="BH572" s="112"/>
      <c r="BI572" s="112"/>
    </row>
    <row r="573" ht="15.75" customHeight="1"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T573" s="112"/>
      <c r="AW573" s="112"/>
      <c r="AX573" s="112"/>
      <c r="BA573" s="112"/>
      <c r="BF573" s="112"/>
      <c r="BG573" s="112"/>
      <c r="BH573" s="112"/>
      <c r="BI573" s="112"/>
    </row>
    <row r="574" ht="15.75" customHeight="1"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T574" s="112"/>
      <c r="AW574" s="112"/>
      <c r="AX574" s="112"/>
      <c r="BA574" s="112"/>
      <c r="BF574" s="112"/>
      <c r="BG574" s="112"/>
      <c r="BH574" s="112"/>
      <c r="BI574" s="112"/>
    </row>
    <row r="575" ht="15.75" customHeight="1"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W575" s="112"/>
      <c r="AX575" s="112"/>
      <c r="BA575" s="112"/>
      <c r="BF575" s="112"/>
      <c r="BG575" s="112"/>
      <c r="BH575" s="112"/>
      <c r="BI575" s="112"/>
    </row>
    <row r="576" ht="15.75" customHeight="1"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W576" s="112"/>
      <c r="AX576" s="112"/>
      <c r="BA576" s="112"/>
      <c r="BF576" s="112"/>
      <c r="BG576" s="112"/>
      <c r="BH576" s="112"/>
      <c r="BI576" s="112"/>
    </row>
    <row r="577" ht="15.75" customHeight="1"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W577" s="112"/>
      <c r="AX577" s="112"/>
      <c r="BA577" s="112"/>
      <c r="BF577" s="112"/>
      <c r="BG577" s="112"/>
      <c r="BH577" s="112"/>
      <c r="BI577" s="112"/>
    </row>
    <row r="578" ht="15.75" customHeight="1"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W578" s="112"/>
      <c r="AX578" s="112"/>
      <c r="BA578" s="112"/>
      <c r="BF578" s="112"/>
      <c r="BG578" s="112"/>
      <c r="BH578" s="112"/>
      <c r="BI578" s="112"/>
    </row>
    <row r="579" ht="15.75" customHeight="1"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W579" s="112"/>
      <c r="AX579" s="112"/>
      <c r="BA579" s="112"/>
      <c r="BF579" s="112"/>
      <c r="BG579" s="112"/>
      <c r="BH579" s="112"/>
      <c r="BI579" s="112"/>
    </row>
    <row r="580" ht="15.75" customHeight="1"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W580" s="112"/>
      <c r="AX580" s="112"/>
      <c r="BA580" s="112"/>
      <c r="BF580" s="112"/>
      <c r="BG580" s="112"/>
      <c r="BH580" s="112"/>
      <c r="BI580" s="112"/>
    </row>
    <row r="581" ht="15.75" customHeight="1"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W581" s="112"/>
      <c r="AX581" s="112"/>
      <c r="BA581" s="112"/>
      <c r="BF581" s="112"/>
      <c r="BG581" s="112"/>
      <c r="BH581" s="112"/>
      <c r="BI581" s="112"/>
    </row>
    <row r="582" ht="15.75" customHeight="1"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W582" s="112"/>
      <c r="AX582" s="112"/>
      <c r="BA582" s="112"/>
      <c r="BF582" s="112"/>
      <c r="BG582" s="112"/>
      <c r="BH582" s="112"/>
      <c r="BI582" s="112"/>
    </row>
    <row r="583" ht="15.75" customHeight="1"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W583" s="112"/>
      <c r="AX583" s="112"/>
      <c r="BA583" s="112"/>
      <c r="BF583" s="112"/>
      <c r="BG583" s="112"/>
      <c r="BH583" s="112"/>
      <c r="BI583" s="112"/>
    </row>
    <row r="584" ht="15.75" customHeight="1"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W584" s="112"/>
      <c r="AX584" s="112"/>
      <c r="BA584" s="112"/>
      <c r="BF584" s="112"/>
      <c r="BG584" s="112"/>
      <c r="BH584" s="112"/>
      <c r="BI584" s="112"/>
    </row>
    <row r="585" ht="15.75" customHeight="1"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W585" s="112"/>
      <c r="AX585" s="112"/>
      <c r="BA585" s="112"/>
      <c r="BF585" s="112"/>
      <c r="BG585" s="112"/>
      <c r="BH585" s="112"/>
      <c r="BI585" s="112"/>
    </row>
    <row r="586" ht="15.75" customHeight="1"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W586" s="112"/>
      <c r="AX586" s="112"/>
      <c r="BA586" s="112"/>
      <c r="BF586" s="112"/>
      <c r="BG586" s="112"/>
      <c r="BH586" s="112"/>
      <c r="BI586" s="112"/>
    </row>
    <row r="587" ht="15.75" customHeight="1"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T587" s="112"/>
      <c r="AW587" s="112"/>
      <c r="AX587" s="112"/>
      <c r="BA587" s="112"/>
      <c r="BF587" s="112"/>
      <c r="BG587" s="112"/>
      <c r="BH587" s="112"/>
      <c r="BI587" s="112"/>
    </row>
    <row r="588" ht="15.75" customHeight="1"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T588" s="112"/>
      <c r="AW588" s="112"/>
      <c r="AX588" s="112"/>
      <c r="BA588" s="112"/>
      <c r="BF588" s="112"/>
      <c r="BG588" s="112"/>
      <c r="BH588" s="112"/>
      <c r="BI588" s="112"/>
    </row>
    <row r="589" ht="15.75" customHeight="1"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T589" s="112"/>
      <c r="AW589" s="112"/>
      <c r="AX589" s="112"/>
      <c r="BA589" s="112"/>
      <c r="BF589" s="112"/>
      <c r="BG589" s="112"/>
      <c r="BH589" s="112"/>
      <c r="BI589" s="112"/>
    </row>
    <row r="590" ht="15.75" customHeight="1"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T590" s="112"/>
      <c r="AW590" s="112"/>
      <c r="AX590" s="112"/>
      <c r="BA590" s="112"/>
      <c r="BF590" s="112"/>
      <c r="BG590" s="112"/>
      <c r="BH590" s="112"/>
      <c r="BI590" s="112"/>
    </row>
    <row r="591" ht="15.75" customHeight="1"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T591" s="112"/>
      <c r="AW591" s="112"/>
      <c r="AX591" s="112"/>
      <c r="BA591" s="112"/>
      <c r="BF591" s="112"/>
      <c r="BG591" s="112"/>
      <c r="BH591" s="112"/>
      <c r="BI591" s="112"/>
    </row>
    <row r="592" ht="15.75" customHeight="1"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W592" s="112"/>
      <c r="AX592" s="112"/>
      <c r="BA592" s="112"/>
      <c r="BF592" s="112"/>
      <c r="BG592" s="112"/>
      <c r="BH592" s="112"/>
      <c r="BI592" s="112"/>
    </row>
    <row r="593" ht="15.75" customHeight="1"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T593" s="112"/>
      <c r="AW593" s="112"/>
      <c r="AX593" s="112"/>
      <c r="BA593" s="112"/>
      <c r="BF593" s="112"/>
      <c r="BG593" s="112"/>
      <c r="BH593" s="112"/>
      <c r="BI593" s="112"/>
    </row>
    <row r="594" ht="15.75" customHeight="1"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T594" s="112"/>
      <c r="AW594" s="112"/>
      <c r="AX594" s="112"/>
      <c r="BA594" s="112"/>
      <c r="BF594" s="112"/>
      <c r="BG594" s="112"/>
      <c r="BH594" s="112"/>
      <c r="BI594" s="112"/>
    </row>
    <row r="595" ht="15.75" customHeight="1"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T595" s="112"/>
      <c r="AW595" s="112"/>
      <c r="AX595" s="112"/>
      <c r="BA595" s="112"/>
      <c r="BF595" s="112"/>
      <c r="BG595" s="112"/>
      <c r="BH595" s="112"/>
      <c r="BI595" s="112"/>
    </row>
    <row r="596" ht="15.75" customHeight="1"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T596" s="112"/>
      <c r="AW596" s="112"/>
      <c r="AX596" s="112"/>
      <c r="BA596" s="112"/>
      <c r="BF596" s="112"/>
      <c r="BG596" s="112"/>
      <c r="BH596" s="112"/>
      <c r="BI596" s="112"/>
    </row>
    <row r="597" ht="15.75" customHeight="1"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T597" s="112"/>
      <c r="AW597" s="112"/>
      <c r="AX597" s="112"/>
      <c r="BA597" s="112"/>
      <c r="BF597" s="112"/>
      <c r="BG597" s="112"/>
      <c r="BH597" s="112"/>
      <c r="BI597" s="112"/>
    </row>
    <row r="598" ht="15.75" customHeight="1"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T598" s="112"/>
      <c r="AW598" s="112"/>
      <c r="AX598" s="112"/>
      <c r="BA598" s="112"/>
      <c r="BF598" s="112"/>
      <c r="BG598" s="112"/>
      <c r="BH598" s="112"/>
      <c r="BI598" s="112"/>
    </row>
    <row r="599" ht="15.75" customHeight="1"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T599" s="112"/>
      <c r="AW599" s="112"/>
      <c r="AX599" s="112"/>
      <c r="BA599" s="112"/>
      <c r="BF599" s="112"/>
      <c r="BG599" s="112"/>
      <c r="BH599" s="112"/>
      <c r="BI599" s="112"/>
    </row>
    <row r="600" ht="15.75" customHeight="1"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T600" s="112"/>
      <c r="AW600" s="112"/>
      <c r="AX600" s="112"/>
      <c r="BA600" s="112"/>
      <c r="BF600" s="112"/>
      <c r="BG600" s="112"/>
      <c r="BH600" s="112"/>
      <c r="BI600" s="112"/>
    </row>
    <row r="601" ht="15.75" customHeight="1"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T601" s="112"/>
      <c r="AW601" s="112"/>
      <c r="AX601" s="112"/>
      <c r="BA601" s="112"/>
      <c r="BF601" s="112"/>
      <c r="BG601" s="112"/>
      <c r="BH601" s="112"/>
      <c r="BI601" s="112"/>
    </row>
    <row r="602" ht="15.75" customHeight="1"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T602" s="112"/>
      <c r="AW602" s="112"/>
      <c r="AX602" s="112"/>
      <c r="BA602" s="112"/>
      <c r="BF602" s="112"/>
      <c r="BG602" s="112"/>
      <c r="BH602" s="112"/>
      <c r="BI602" s="112"/>
    </row>
    <row r="603" ht="15.75" customHeight="1"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T603" s="112"/>
      <c r="AW603" s="112"/>
      <c r="AX603" s="112"/>
      <c r="BA603" s="112"/>
      <c r="BF603" s="112"/>
      <c r="BG603" s="112"/>
      <c r="BH603" s="112"/>
      <c r="BI603" s="112"/>
    </row>
    <row r="604" ht="15.75" customHeight="1"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T604" s="112"/>
      <c r="AW604" s="112"/>
      <c r="AX604" s="112"/>
      <c r="BA604" s="112"/>
      <c r="BF604" s="112"/>
      <c r="BG604" s="112"/>
      <c r="BH604" s="112"/>
      <c r="BI604" s="112"/>
    </row>
    <row r="605" ht="15.75" customHeight="1"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T605" s="112"/>
      <c r="AW605" s="112"/>
      <c r="AX605" s="112"/>
      <c r="BA605" s="112"/>
      <c r="BF605" s="112"/>
      <c r="BG605" s="112"/>
      <c r="BH605" s="112"/>
      <c r="BI605" s="112"/>
    </row>
    <row r="606" ht="15.75" customHeight="1"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T606" s="112"/>
      <c r="AW606" s="112"/>
      <c r="AX606" s="112"/>
      <c r="BA606" s="112"/>
      <c r="BF606" s="112"/>
      <c r="BG606" s="112"/>
      <c r="BH606" s="112"/>
      <c r="BI606" s="112"/>
    </row>
    <row r="607" ht="15.75" customHeight="1"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T607" s="112"/>
      <c r="AW607" s="112"/>
      <c r="AX607" s="112"/>
      <c r="BA607" s="112"/>
      <c r="BF607" s="112"/>
      <c r="BG607" s="112"/>
      <c r="BH607" s="112"/>
      <c r="BI607" s="112"/>
    </row>
    <row r="608" ht="15.75" customHeight="1"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T608" s="112"/>
      <c r="AW608" s="112"/>
      <c r="AX608" s="112"/>
      <c r="BA608" s="112"/>
      <c r="BF608" s="112"/>
      <c r="BG608" s="112"/>
      <c r="BH608" s="112"/>
      <c r="BI608" s="112"/>
    </row>
    <row r="609" ht="15.75" customHeight="1"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T609" s="112"/>
      <c r="AW609" s="112"/>
      <c r="AX609" s="112"/>
      <c r="BA609" s="112"/>
      <c r="BF609" s="112"/>
      <c r="BG609" s="112"/>
      <c r="BH609" s="112"/>
      <c r="BI609" s="112"/>
    </row>
    <row r="610" ht="15.75" customHeight="1"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T610" s="112"/>
      <c r="AW610" s="112"/>
      <c r="AX610" s="112"/>
      <c r="BA610" s="112"/>
      <c r="BF610" s="112"/>
      <c r="BG610" s="112"/>
      <c r="BH610" s="112"/>
      <c r="BI610" s="112"/>
    </row>
    <row r="611" ht="15.75" customHeight="1"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T611" s="112"/>
      <c r="AW611" s="112"/>
      <c r="AX611" s="112"/>
      <c r="BA611" s="112"/>
      <c r="BF611" s="112"/>
      <c r="BG611" s="112"/>
      <c r="BH611" s="112"/>
      <c r="BI611" s="112"/>
    </row>
    <row r="612" ht="15.75" customHeight="1"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T612" s="112"/>
      <c r="AW612" s="112"/>
      <c r="AX612" s="112"/>
      <c r="BA612" s="112"/>
      <c r="BF612" s="112"/>
      <c r="BG612" s="112"/>
      <c r="BH612" s="112"/>
      <c r="BI612" s="112"/>
    </row>
    <row r="613" ht="15.75" customHeight="1"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T613" s="112"/>
      <c r="AW613" s="112"/>
      <c r="AX613" s="112"/>
      <c r="BA613" s="112"/>
      <c r="BF613" s="112"/>
      <c r="BG613" s="112"/>
      <c r="BH613" s="112"/>
      <c r="BI613" s="112"/>
    </row>
    <row r="614" ht="15.75" customHeight="1"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T614" s="112"/>
      <c r="AW614" s="112"/>
      <c r="AX614" s="112"/>
      <c r="BA614" s="112"/>
      <c r="BF614" s="112"/>
      <c r="BG614" s="112"/>
      <c r="BH614" s="112"/>
      <c r="BI614" s="112"/>
    </row>
    <row r="615" ht="15.75" customHeight="1"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T615" s="112"/>
      <c r="AW615" s="112"/>
      <c r="AX615" s="112"/>
      <c r="BA615" s="112"/>
      <c r="BF615" s="112"/>
      <c r="BG615" s="112"/>
      <c r="BH615" s="112"/>
      <c r="BI615" s="112"/>
    </row>
    <row r="616" ht="15.75" customHeight="1"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T616" s="112"/>
      <c r="AW616" s="112"/>
      <c r="AX616" s="112"/>
      <c r="BA616" s="112"/>
      <c r="BF616" s="112"/>
      <c r="BG616" s="112"/>
      <c r="BH616" s="112"/>
      <c r="BI616" s="112"/>
    </row>
    <row r="617" ht="15.75" customHeight="1"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T617" s="112"/>
      <c r="AW617" s="112"/>
      <c r="AX617" s="112"/>
      <c r="BA617" s="112"/>
      <c r="BF617" s="112"/>
      <c r="BG617" s="112"/>
      <c r="BH617" s="112"/>
      <c r="BI617" s="112"/>
    </row>
    <row r="618" ht="15.75" customHeight="1"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T618" s="112"/>
      <c r="AW618" s="112"/>
      <c r="AX618" s="112"/>
      <c r="BA618" s="112"/>
      <c r="BF618" s="112"/>
      <c r="BG618" s="112"/>
      <c r="BH618" s="112"/>
      <c r="BI618" s="112"/>
    </row>
    <row r="619" ht="15.75" customHeight="1"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T619" s="112"/>
      <c r="AW619" s="112"/>
      <c r="AX619" s="112"/>
      <c r="BA619" s="112"/>
      <c r="BF619" s="112"/>
      <c r="BG619" s="112"/>
      <c r="BH619" s="112"/>
      <c r="BI619" s="112"/>
    </row>
    <row r="620" ht="15.75" customHeight="1"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T620" s="112"/>
      <c r="AW620" s="112"/>
      <c r="AX620" s="112"/>
      <c r="BA620" s="112"/>
      <c r="BF620" s="112"/>
      <c r="BG620" s="112"/>
      <c r="BH620" s="112"/>
      <c r="BI620" s="112"/>
    </row>
    <row r="621" ht="15.75" customHeight="1"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T621" s="112"/>
      <c r="AW621" s="112"/>
      <c r="AX621" s="112"/>
      <c r="BA621" s="112"/>
      <c r="BF621" s="112"/>
      <c r="BG621" s="112"/>
      <c r="BH621" s="112"/>
      <c r="BI621" s="112"/>
    </row>
    <row r="622" ht="15.75" customHeight="1"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T622" s="112"/>
      <c r="AW622" s="112"/>
      <c r="AX622" s="112"/>
      <c r="BA622" s="112"/>
      <c r="BF622" s="112"/>
      <c r="BG622" s="112"/>
      <c r="BH622" s="112"/>
      <c r="BI622" s="112"/>
    </row>
    <row r="623" ht="15.75" customHeight="1"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T623" s="112"/>
      <c r="AW623" s="112"/>
      <c r="AX623" s="112"/>
      <c r="BA623" s="112"/>
      <c r="BF623" s="112"/>
      <c r="BG623" s="112"/>
      <c r="BH623" s="112"/>
      <c r="BI623" s="112"/>
    </row>
    <row r="624" ht="15.75" customHeight="1"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T624" s="112"/>
      <c r="AW624" s="112"/>
      <c r="AX624" s="112"/>
      <c r="BA624" s="112"/>
      <c r="BF624" s="112"/>
      <c r="BG624" s="112"/>
      <c r="BH624" s="112"/>
      <c r="BI624" s="112"/>
    </row>
    <row r="625" ht="15.75" customHeight="1"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T625" s="112"/>
      <c r="AW625" s="112"/>
      <c r="AX625" s="112"/>
      <c r="BA625" s="112"/>
      <c r="BF625" s="112"/>
      <c r="BG625" s="112"/>
      <c r="BH625" s="112"/>
      <c r="BI625" s="112"/>
    </row>
    <row r="626" ht="15.75" customHeight="1"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T626" s="112"/>
      <c r="AW626" s="112"/>
      <c r="AX626" s="112"/>
      <c r="BA626" s="112"/>
      <c r="BF626" s="112"/>
      <c r="BG626" s="112"/>
      <c r="BH626" s="112"/>
      <c r="BI626" s="112"/>
    </row>
    <row r="627" ht="15.75" customHeight="1"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T627" s="112"/>
      <c r="AW627" s="112"/>
      <c r="AX627" s="112"/>
      <c r="BA627" s="112"/>
      <c r="BF627" s="112"/>
      <c r="BG627" s="112"/>
      <c r="BH627" s="112"/>
      <c r="BI627" s="112"/>
    </row>
    <row r="628" ht="15.75" customHeight="1"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T628" s="112"/>
      <c r="AW628" s="112"/>
      <c r="AX628" s="112"/>
      <c r="BA628" s="112"/>
      <c r="BF628" s="112"/>
      <c r="BG628" s="112"/>
      <c r="BH628" s="112"/>
      <c r="BI628" s="112"/>
    </row>
    <row r="629" ht="15.75" customHeight="1"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T629" s="112"/>
      <c r="AW629" s="112"/>
      <c r="AX629" s="112"/>
      <c r="BA629" s="112"/>
      <c r="BF629" s="112"/>
      <c r="BG629" s="112"/>
      <c r="BH629" s="112"/>
      <c r="BI629" s="112"/>
    </row>
    <row r="630" ht="15.75" customHeight="1"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T630" s="112"/>
      <c r="AW630" s="112"/>
      <c r="AX630" s="112"/>
      <c r="BA630" s="112"/>
      <c r="BF630" s="112"/>
      <c r="BG630" s="112"/>
      <c r="BH630" s="112"/>
      <c r="BI630" s="112"/>
    </row>
    <row r="631" ht="15.75" customHeight="1"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T631" s="112"/>
      <c r="AW631" s="112"/>
      <c r="AX631" s="112"/>
      <c r="BA631" s="112"/>
      <c r="BF631" s="112"/>
      <c r="BG631" s="112"/>
      <c r="BH631" s="112"/>
      <c r="BI631" s="112"/>
    </row>
    <row r="632" ht="15.75" customHeight="1"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T632" s="112"/>
      <c r="AW632" s="112"/>
      <c r="AX632" s="112"/>
      <c r="BA632" s="112"/>
      <c r="BF632" s="112"/>
      <c r="BG632" s="112"/>
      <c r="BH632" s="112"/>
      <c r="BI632" s="112"/>
    </row>
    <row r="633" ht="15.75" customHeight="1"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T633" s="112"/>
      <c r="AW633" s="112"/>
      <c r="AX633" s="112"/>
      <c r="BA633" s="112"/>
      <c r="BF633" s="112"/>
      <c r="BG633" s="112"/>
      <c r="BH633" s="112"/>
      <c r="BI633" s="112"/>
    </row>
    <row r="634" ht="15.75" customHeight="1"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T634" s="112"/>
      <c r="AW634" s="112"/>
      <c r="AX634" s="112"/>
      <c r="BA634" s="112"/>
      <c r="BF634" s="112"/>
      <c r="BG634" s="112"/>
      <c r="BH634" s="112"/>
      <c r="BI634" s="112"/>
    </row>
    <row r="635" ht="15.75" customHeight="1"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T635" s="112"/>
      <c r="AW635" s="112"/>
      <c r="AX635" s="112"/>
      <c r="BA635" s="112"/>
      <c r="BF635" s="112"/>
      <c r="BG635" s="112"/>
      <c r="BH635" s="112"/>
      <c r="BI635" s="112"/>
    </row>
    <row r="636" ht="15.75" customHeight="1"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W636" s="112"/>
      <c r="AX636" s="112"/>
      <c r="BA636" s="112"/>
      <c r="BF636" s="112"/>
      <c r="BG636" s="112"/>
      <c r="BH636" s="112"/>
      <c r="BI636" s="112"/>
    </row>
    <row r="637" ht="15.75" customHeight="1"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T637" s="112"/>
      <c r="AW637" s="112"/>
      <c r="AX637" s="112"/>
      <c r="BA637" s="112"/>
      <c r="BF637" s="112"/>
      <c r="BG637" s="112"/>
      <c r="BH637" s="112"/>
      <c r="BI637" s="112"/>
    </row>
    <row r="638" ht="15.75" customHeight="1"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W638" s="112"/>
      <c r="AX638" s="112"/>
      <c r="BA638" s="112"/>
      <c r="BF638" s="112"/>
      <c r="BG638" s="112"/>
      <c r="BH638" s="112"/>
      <c r="BI638" s="112"/>
    </row>
    <row r="639" ht="15.75" customHeight="1"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W639" s="112"/>
      <c r="AX639" s="112"/>
      <c r="BA639" s="112"/>
      <c r="BF639" s="112"/>
      <c r="BG639" s="112"/>
      <c r="BH639" s="112"/>
      <c r="BI639" s="112"/>
    </row>
    <row r="640" ht="15.75" customHeight="1"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W640" s="112"/>
      <c r="AX640" s="112"/>
      <c r="BA640" s="112"/>
      <c r="BF640" s="112"/>
      <c r="BG640" s="112"/>
      <c r="BH640" s="112"/>
      <c r="BI640" s="112"/>
    </row>
    <row r="641" ht="15.75" customHeight="1"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W641" s="112"/>
      <c r="AX641" s="112"/>
      <c r="BA641" s="112"/>
      <c r="BF641" s="112"/>
      <c r="BG641" s="112"/>
      <c r="BH641" s="112"/>
      <c r="BI641" s="112"/>
    </row>
    <row r="642" ht="15.75" customHeight="1"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T642" s="112"/>
      <c r="AW642" s="112"/>
      <c r="AX642" s="112"/>
      <c r="BA642" s="112"/>
      <c r="BF642" s="112"/>
      <c r="BG642" s="112"/>
      <c r="BH642" s="112"/>
      <c r="BI642" s="112"/>
    </row>
    <row r="643" ht="15.75" customHeight="1"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T643" s="112"/>
      <c r="AW643" s="112"/>
      <c r="AX643" s="112"/>
      <c r="BA643" s="112"/>
      <c r="BF643" s="112"/>
      <c r="BG643" s="112"/>
      <c r="BH643" s="112"/>
      <c r="BI643" s="112"/>
    </row>
    <row r="644" ht="15.75" customHeight="1"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T644" s="112"/>
      <c r="AW644" s="112"/>
      <c r="AX644" s="112"/>
      <c r="BA644" s="112"/>
      <c r="BF644" s="112"/>
      <c r="BG644" s="112"/>
      <c r="BH644" s="112"/>
      <c r="BI644" s="112"/>
    </row>
    <row r="645" ht="15.75" customHeight="1"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T645" s="112"/>
      <c r="AW645" s="112"/>
      <c r="AX645" s="112"/>
      <c r="BA645" s="112"/>
      <c r="BF645" s="112"/>
      <c r="BG645" s="112"/>
      <c r="BH645" s="112"/>
      <c r="BI645" s="112"/>
    </row>
    <row r="646" ht="15.75" customHeight="1"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T646" s="112"/>
      <c r="AW646" s="112"/>
      <c r="AX646" s="112"/>
      <c r="BA646" s="112"/>
      <c r="BF646" s="112"/>
      <c r="BG646" s="112"/>
      <c r="BH646" s="112"/>
      <c r="BI646" s="112"/>
    </row>
    <row r="647" ht="15.75" customHeight="1"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T647" s="112"/>
      <c r="AW647" s="112"/>
      <c r="AX647" s="112"/>
      <c r="BA647" s="112"/>
      <c r="BF647" s="112"/>
      <c r="BG647" s="112"/>
      <c r="BH647" s="112"/>
      <c r="BI647" s="112"/>
    </row>
    <row r="648" ht="15.75" customHeight="1"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T648" s="112"/>
      <c r="AW648" s="112"/>
      <c r="AX648" s="112"/>
      <c r="BA648" s="112"/>
      <c r="BF648" s="112"/>
      <c r="BG648" s="112"/>
      <c r="BH648" s="112"/>
      <c r="BI648" s="112"/>
    </row>
    <row r="649" ht="15.75" customHeight="1"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T649" s="112"/>
      <c r="AW649" s="112"/>
      <c r="AX649" s="112"/>
      <c r="BA649" s="112"/>
      <c r="BF649" s="112"/>
      <c r="BG649" s="112"/>
      <c r="BH649" s="112"/>
      <c r="BI649" s="112"/>
    </row>
    <row r="650" ht="15.75" customHeight="1"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T650" s="112"/>
      <c r="AW650" s="112"/>
      <c r="AX650" s="112"/>
      <c r="BA650" s="112"/>
      <c r="BF650" s="112"/>
      <c r="BG650" s="112"/>
      <c r="BH650" s="112"/>
      <c r="BI650" s="112"/>
    </row>
    <row r="651" ht="15.75" customHeight="1"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T651" s="112"/>
      <c r="AW651" s="112"/>
      <c r="AX651" s="112"/>
      <c r="BA651" s="112"/>
      <c r="BF651" s="112"/>
      <c r="BG651" s="112"/>
      <c r="BH651" s="112"/>
      <c r="BI651" s="112"/>
    </row>
    <row r="652" ht="15.75" customHeight="1"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T652" s="112"/>
      <c r="AW652" s="112"/>
      <c r="AX652" s="112"/>
      <c r="BA652" s="112"/>
      <c r="BF652" s="112"/>
      <c r="BG652" s="112"/>
      <c r="BH652" s="112"/>
      <c r="BI652" s="112"/>
    </row>
    <row r="653" ht="15.75" customHeight="1"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T653" s="112"/>
      <c r="AW653" s="112"/>
      <c r="AX653" s="112"/>
      <c r="BA653" s="112"/>
      <c r="BF653" s="112"/>
      <c r="BG653" s="112"/>
      <c r="BH653" s="112"/>
      <c r="BI653" s="112"/>
    </row>
    <row r="654" ht="15.75" customHeight="1"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T654" s="112"/>
      <c r="AW654" s="112"/>
      <c r="AX654" s="112"/>
      <c r="BA654" s="112"/>
      <c r="BF654" s="112"/>
      <c r="BG654" s="112"/>
      <c r="BH654" s="112"/>
      <c r="BI654" s="112"/>
    </row>
    <row r="655" ht="15.75" customHeight="1"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T655" s="112"/>
      <c r="AW655" s="112"/>
      <c r="AX655" s="112"/>
      <c r="BA655" s="112"/>
      <c r="BF655" s="112"/>
      <c r="BG655" s="112"/>
      <c r="BH655" s="112"/>
      <c r="BI655" s="112"/>
    </row>
    <row r="656" ht="15.75" customHeight="1"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T656" s="112"/>
      <c r="AW656" s="112"/>
      <c r="AX656" s="112"/>
      <c r="BA656" s="112"/>
      <c r="BF656" s="112"/>
      <c r="BG656" s="112"/>
      <c r="BH656" s="112"/>
      <c r="BI656" s="112"/>
    </row>
    <row r="657" ht="15.75" customHeight="1"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T657" s="112"/>
      <c r="AW657" s="112"/>
      <c r="AX657" s="112"/>
      <c r="BA657" s="112"/>
      <c r="BF657" s="112"/>
      <c r="BG657" s="112"/>
      <c r="BH657" s="112"/>
      <c r="BI657" s="112"/>
    </row>
    <row r="658" ht="15.75" customHeight="1"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T658" s="112"/>
      <c r="AW658" s="112"/>
      <c r="AX658" s="112"/>
      <c r="BA658" s="112"/>
      <c r="BF658" s="112"/>
      <c r="BG658" s="112"/>
      <c r="BH658" s="112"/>
      <c r="BI658" s="112"/>
    </row>
    <row r="659" ht="15.75" customHeight="1"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T659" s="112"/>
      <c r="AW659" s="112"/>
      <c r="AX659" s="112"/>
      <c r="BA659" s="112"/>
      <c r="BF659" s="112"/>
      <c r="BG659" s="112"/>
      <c r="BH659" s="112"/>
      <c r="BI659" s="112"/>
    </row>
    <row r="660" ht="15.75" customHeight="1"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T660" s="112"/>
      <c r="AW660" s="112"/>
      <c r="AX660" s="112"/>
      <c r="BA660" s="112"/>
      <c r="BF660" s="112"/>
      <c r="BG660" s="112"/>
      <c r="BH660" s="112"/>
      <c r="BI660" s="112"/>
    </row>
    <row r="661" ht="15.75" customHeight="1"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W661" s="112"/>
      <c r="AX661" s="112"/>
      <c r="BA661" s="112"/>
      <c r="BF661" s="112"/>
      <c r="BG661" s="112"/>
      <c r="BH661" s="112"/>
      <c r="BI661" s="112"/>
    </row>
    <row r="662" ht="15.75" customHeight="1"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W662" s="112"/>
      <c r="AX662" s="112"/>
      <c r="BA662" s="112"/>
      <c r="BF662" s="112"/>
      <c r="BG662" s="112"/>
      <c r="BH662" s="112"/>
      <c r="BI662" s="112"/>
    </row>
    <row r="663" ht="15.75" customHeight="1"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W663" s="112"/>
      <c r="AX663" s="112"/>
      <c r="BA663" s="112"/>
      <c r="BF663" s="112"/>
      <c r="BG663" s="112"/>
      <c r="BH663" s="112"/>
      <c r="BI663" s="112"/>
    </row>
    <row r="664" ht="15.75" customHeight="1"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W664" s="112"/>
      <c r="AX664" s="112"/>
      <c r="BA664" s="112"/>
      <c r="BF664" s="112"/>
      <c r="BG664" s="112"/>
      <c r="BH664" s="112"/>
      <c r="BI664" s="112"/>
    </row>
    <row r="665" ht="15.75" customHeight="1"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W665" s="112"/>
      <c r="AX665" s="112"/>
      <c r="BA665" s="112"/>
      <c r="BF665" s="112"/>
      <c r="BG665" s="112"/>
      <c r="BH665" s="112"/>
      <c r="BI665" s="112"/>
    </row>
    <row r="666" ht="15.75" customHeight="1"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T666" s="112"/>
      <c r="AW666" s="112"/>
      <c r="AX666" s="112"/>
      <c r="BA666" s="112"/>
      <c r="BF666" s="112"/>
      <c r="BG666" s="112"/>
      <c r="BH666" s="112"/>
      <c r="BI666" s="112"/>
    </row>
    <row r="667" ht="15.75" customHeight="1"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T667" s="112"/>
      <c r="AW667" s="112"/>
      <c r="AX667" s="112"/>
      <c r="BA667" s="112"/>
      <c r="BF667" s="112"/>
      <c r="BG667" s="112"/>
      <c r="BH667" s="112"/>
      <c r="BI667" s="112"/>
    </row>
    <row r="668" ht="15.75" customHeight="1"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T668" s="112"/>
      <c r="AW668" s="112"/>
      <c r="AX668" s="112"/>
      <c r="BA668" s="112"/>
      <c r="BF668" s="112"/>
      <c r="BG668" s="112"/>
      <c r="BH668" s="112"/>
      <c r="BI668" s="112"/>
    </row>
    <row r="669" ht="15.75" customHeight="1"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T669" s="112"/>
      <c r="AW669" s="112"/>
      <c r="AX669" s="112"/>
      <c r="BA669" s="112"/>
      <c r="BF669" s="112"/>
      <c r="BG669" s="112"/>
      <c r="BH669" s="112"/>
      <c r="BI669" s="112"/>
    </row>
    <row r="670" ht="15.75" customHeight="1"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T670" s="112"/>
      <c r="AW670" s="112"/>
      <c r="AX670" s="112"/>
      <c r="BA670" s="112"/>
      <c r="BF670" s="112"/>
      <c r="BG670" s="112"/>
      <c r="BH670" s="112"/>
      <c r="BI670" s="112"/>
    </row>
    <row r="671" ht="15.75" customHeight="1"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T671" s="112"/>
      <c r="AW671" s="112"/>
      <c r="AX671" s="112"/>
      <c r="BA671" s="112"/>
      <c r="BF671" s="112"/>
      <c r="BG671" s="112"/>
      <c r="BH671" s="112"/>
      <c r="BI671" s="112"/>
    </row>
    <row r="672" ht="15.75" customHeight="1"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T672" s="112"/>
      <c r="AW672" s="112"/>
      <c r="AX672" s="112"/>
      <c r="BA672" s="112"/>
      <c r="BF672" s="112"/>
      <c r="BG672" s="112"/>
      <c r="BH672" s="112"/>
      <c r="BI672" s="112"/>
    </row>
    <row r="673" ht="15.75" customHeight="1"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T673" s="112"/>
      <c r="AW673" s="112"/>
      <c r="AX673" s="112"/>
      <c r="BA673" s="112"/>
      <c r="BF673" s="112"/>
      <c r="BG673" s="112"/>
      <c r="BH673" s="112"/>
      <c r="BI673" s="112"/>
    </row>
    <row r="674" ht="15.75" customHeight="1"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T674" s="112"/>
      <c r="AW674" s="112"/>
      <c r="AX674" s="112"/>
      <c r="BA674" s="112"/>
      <c r="BF674" s="112"/>
      <c r="BG674" s="112"/>
      <c r="BH674" s="112"/>
      <c r="BI674" s="112"/>
    </row>
    <row r="675" ht="15.75" customHeight="1"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T675" s="112"/>
      <c r="AW675" s="112"/>
      <c r="AX675" s="112"/>
      <c r="BA675" s="112"/>
      <c r="BF675" s="112"/>
      <c r="BG675" s="112"/>
      <c r="BH675" s="112"/>
      <c r="BI675" s="112"/>
    </row>
    <row r="676" ht="15.75" customHeight="1"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T676" s="112"/>
      <c r="AW676" s="112"/>
      <c r="AX676" s="112"/>
      <c r="BA676" s="112"/>
      <c r="BF676" s="112"/>
      <c r="BG676" s="112"/>
      <c r="BH676" s="112"/>
      <c r="BI676" s="112"/>
    </row>
    <row r="677" ht="15.75" customHeight="1"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T677" s="112"/>
      <c r="AW677" s="112"/>
      <c r="AX677" s="112"/>
      <c r="BA677" s="112"/>
      <c r="BF677" s="112"/>
      <c r="BG677" s="112"/>
      <c r="BH677" s="112"/>
      <c r="BI677" s="112"/>
    </row>
    <row r="678" ht="15.75" customHeight="1"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T678" s="112"/>
      <c r="AW678" s="112"/>
      <c r="AX678" s="112"/>
      <c r="BA678" s="112"/>
      <c r="BF678" s="112"/>
      <c r="BG678" s="112"/>
      <c r="BH678" s="112"/>
      <c r="BI678" s="112"/>
    </row>
    <row r="679" ht="15.75" customHeight="1"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T679" s="112"/>
      <c r="AW679" s="112"/>
      <c r="AX679" s="112"/>
      <c r="BA679" s="112"/>
      <c r="BF679" s="112"/>
      <c r="BG679" s="112"/>
      <c r="BH679" s="112"/>
      <c r="BI679" s="112"/>
    </row>
    <row r="680" ht="15.75" customHeight="1"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T680" s="112"/>
      <c r="AW680" s="112"/>
      <c r="AX680" s="112"/>
      <c r="BA680" s="112"/>
      <c r="BF680" s="112"/>
      <c r="BG680" s="112"/>
      <c r="BH680" s="112"/>
      <c r="BI680" s="112"/>
    </row>
    <row r="681" ht="15.75" customHeight="1"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T681" s="112"/>
      <c r="AW681" s="112"/>
      <c r="AX681" s="112"/>
      <c r="BA681" s="112"/>
      <c r="BF681" s="112"/>
      <c r="BG681" s="112"/>
      <c r="BH681" s="112"/>
      <c r="BI681" s="112"/>
    </row>
    <row r="682" ht="15.75" customHeight="1"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T682" s="112"/>
      <c r="AW682" s="112"/>
      <c r="AX682" s="112"/>
      <c r="BA682" s="112"/>
      <c r="BF682" s="112"/>
      <c r="BG682" s="112"/>
      <c r="BH682" s="112"/>
      <c r="BI682" s="112"/>
    </row>
    <row r="683" ht="15.75" customHeight="1"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T683" s="112"/>
      <c r="AW683" s="112"/>
      <c r="AX683" s="112"/>
      <c r="BA683" s="112"/>
      <c r="BF683" s="112"/>
      <c r="BG683" s="112"/>
      <c r="BH683" s="112"/>
      <c r="BI683" s="112"/>
    </row>
    <row r="684" ht="15.75" customHeight="1"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T684" s="112"/>
      <c r="AW684" s="112"/>
      <c r="AX684" s="112"/>
      <c r="BA684" s="112"/>
      <c r="BF684" s="112"/>
      <c r="BG684" s="112"/>
      <c r="BH684" s="112"/>
      <c r="BI684" s="112"/>
    </row>
    <row r="685" ht="15.75" customHeight="1"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T685" s="112"/>
      <c r="AW685" s="112"/>
      <c r="AX685" s="112"/>
      <c r="BA685" s="112"/>
      <c r="BF685" s="112"/>
      <c r="BG685" s="112"/>
      <c r="BH685" s="112"/>
      <c r="BI685" s="112"/>
    </row>
    <row r="686" ht="15.75" customHeight="1"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T686" s="112"/>
      <c r="AW686" s="112"/>
      <c r="AX686" s="112"/>
      <c r="BA686" s="112"/>
      <c r="BF686" s="112"/>
      <c r="BG686" s="112"/>
      <c r="BH686" s="112"/>
      <c r="BI686" s="112"/>
    </row>
    <row r="687" ht="15.75" customHeight="1"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T687" s="112"/>
      <c r="AW687" s="112"/>
      <c r="AX687" s="112"/>
      <c r="BA687" s="112"/>
      <c r="BF687" s="112"/>
      <c r="BG687" s="112"/>
      <c r="BH687" s="112"/>
      <c r="BI687" s="112"/>
    </row>
    <row r="688" ht="15.75" customHeight="1"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T688" s="112"/>
      <c r="AW688" s="112"/>
      <c r="AX688" s="112"/>
      <c r="BA688" s="112"/>
      <c r="BF688" s="112"/>
      <c r="BG688" s="112"/>
      <c r="BH688" s="112"/>
      <c r="BI688" s="112"/>
    </row>
    <row r="689" ht="15.75" customHeight="1"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T689" s="112"/>
      <c r="AW689" s="112"/>
      <c r="AX689" s="112"/>
      <c r="BA689" s="112"/>
      <c r="BF689" s="112"/>
      <c r="BG689" s="112"/>
      <c r="BH689" s="112"/>
      <c r="BI689" s="112"/>
    </row>
    <row r="690" ht="15.75" customHeight="1"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T690" s="112"/>
      <c r="AW690" s="112"/>
      <c r="AX690" s="112"/>
      <c r="BA690" s="112"/>
      <c r="BF690" s="112"/>
      <c r="BG690" s="112"/>
      <c r="BH690" s="112"/>
      <c r="BI690" s="112"/>
    </row>
    <row r="691" ht="15.75" customHeight="1"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T691" s="112"/>
      <c r="AW691" s="112"/>
      <c r="AX691" s="112"/>
      <c r="BA691" s="112"/>
      <c r="BF691" s="112"/>
      <c r="BG691" s="112"/>
      <c r="BH691" s="112"/>
      <c r="BI691" s="112"/>
    </row>
    <row r="692" ht="15.75" customHeight="1"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T692" s="112"/>
      <c r="AW692" s="112"/>
      <c r="AX692" s="112"/>
      <c r="BA692" s="112"/>
      <c r="BF692" s="112"/>
      <c r="BG692" s="112"/>
      <c r="BH692" s="112"/>
      <c r="BI692" s="112"/>
    </row>
    <row r="693" ht="15.75" customHeight="1"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T693" s="112"/>
      <c r="AW693" s="112"/>
      <c r="AX693" s="112"/>
      <c r="BA693" s="112"/>
      <c r="BF693" s="112"/>
      <c r="BG693" s="112"/>
      <c r="BH693" s="112"/>
      <c r="BI693" s="112"/>
    </row>
    <row r="694" ht="15.75" customHeight="1"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T694" s="112"/>
      <c r="AW694" s="112"/>
      <c r="AX694" s="112"/>
      <c r="BA694" s="112"/>
      <c r="BF694" s="112"/>
      <c r="BG694" s="112"/>
      <c r="BH694" s="112"/>
      <c r="BI694" s="112"/>
    </row>
    <row r="695" ht="15.75" customHeight="1"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W695" s="112"/>
      <c r="AX695" s="112"/>
      <c r="BA695" s="112"/>
      <c r="BF695" s="112"/>
      <c r="BG695" s="112"/>
      <c r="BH695" s="112"/>
      <c r="BI695" s="112"/>
    </row>
    <row r="696" ht="15.75" customHeight="1"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T696" s="112"/>
      <c r="AW696" s="112"/>
      <c r="AX696" s="112"/>
      <c r="BA696" s="112"/>
      <c r="BF696" s="112"/>
      <c r="BG696" s="112"/>
      <c r="BH696" s="112"/>
      <c r="BI696" s="112"/>
    </row>
    <row r="697" ht="15.75" customHeight="1"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T697" s="112"/>
      <c r="AW697" s="112"/>
      <c r="AX697" s="112"/>
      <c r="BA697" s="112"/>
      <c r="BF697" s="112"/>
      <c r="BG697" s="112"/>
      <c r="BH697" s="112"/>
      <c r="BI697" s="112"/>
    </row>
    <row r="698" ht="15.75" customHeight="1"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T698" s="112"/>
      <c r="AW698" s="112"/>
      <c r="AX698" s="112"/>
      <c r="BA698" s="112"/>
      <c r="BF698" s="112"/>
      <c r="BG698" s="112"/>
      <c r="BH698" s="112"/>
      <c r="BI698" s="112"/>
    </row>
    <row r="699" ht="15.75" customHeight="1"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T699" s="112"/>
      <c r="AW699" s="112"/>
      <c r="AX699" s="112"/>
      <c r="BA699" s="112"/>
      <c r="BF699" s="112"/>
      <c r="BG699" s="112"/>
      <c r="BH699" s="112"/>
      <c r="BI699" s="112"/>
    </row>
    <row r="700" ht="15.75" customHeight="1"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T700" s="112"/>
      <c r="AW700" s="112"/>
      <c r="AX700" s="112"/>
      <c r="BA700" s="112"/>
      <c r="BF700" s="112"/>
      <c r="BG700" s="112"/>
      <c r="BH700" s="112"/>
      <c r="BI700" s="112"/>
    </row>
    <row r="701" ht="15.75" customHeight="1"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T701" s="112"/>
      <c r="AW701" s="112"/>
      <c r="AX701" s="112"/>
      <c r="BA701" s="112"/>
      <c r="BF701" s="112"/>
      <c r="BG701" s="112"/>
      <c r="BH701" s="112"/>
      <c r="BI701" s="112"/>
    </row>
    <row r="702" ht="15.75" customHeight="1"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T702" s="112"/>
      <c r="AW702" s="112"/>
      <c r="AX702" s="112"/>
      <c r="BA702" s="112"/>
      <c r="BF702" s="112"/>
      <c r="BG702" s="112"/>
      <c r="BH702" s="112"/>
      <c r="BI702" s="112"/>
    </row>
    <row r="703" ht="15.75" customHeight="1"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T703" s="112"/>
      <c r="AW703" s="112"/>
      <c r="AX703" s="112"/>
      <c r="BA703" s="112"/>
      <c r="BF703" s="112"/>
      <c r="BG703" s="112"/>
      <c r="BH703" s="112"/>
      <c r="BI703" s="112"/>
    </row>
    <row r="704" ht="15.75" customHeight="1"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T704" s="112"/>
      <c r="AW704" s="112"/>
      <c r="AX704" s="112"/>
      <c r="BA704" s="112"/>
      <c r="BF704" s="112"/>
      <c r="BG704" s="112"/>
      <c r="BH704" s="112"/>
      <c r="BI704" s="112"/>
    </row>
    <row r="705" ht="15.75" customHeight="1"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T705" s="112"/>
      <c r="AW705" s="112"/>
      <c r="AX705" s="112"/>
      <c r="BA705" s="112"/>
      <c r="BF705" s="112"/>
      <c r="BG705" s="112"/>
      <c r="BH705" s="112"/>
      <c r="BI705" s="112"/>
    </row>
    <row r="706" ht="15.75" customHeight="1"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T706" s="112"/>
      <c r="AW706" s="112"/>
      <c r="AX706" s="112"/>
      <c r="BA706" s="112"/>
      <c r="BF706" s="112"/>
      <c r="BG706" s="112"/>
      <c r="BH706" s="112"/>
      <c r="BI706" s="112"/>
    </row>
    <row r="707" ht="15.75" customHeight="1"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T707" s="112"/>
      <c r="AW707" s="112"/>
      <c r="AX707" s="112"/>
      <c r="BA707" s="112"/>
      <c r="BF707" s="112"/>
      <c r="BG707" s="112"/>
      <c r="BH707" s="112"/>
      <c r="BI707" s="112"/>
    </row>
    <row r="708" ht="15.75" customHeight="1"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T708" s="112"/>
      <c r="AW708" s="112"/>
      <c r="AX708" s="112"/>
      <c r="BA708" s="112"/>
      <c r="BF708" s="112"/>
      <c r="BG708" s="112"/>
      <c r="BH708" s="112"/>
      <c r="BI708" s="112"/>
    </row>
    <row r="709" ht="15.75" customHeight="1"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T709" s="112"/>
      <c r="AW709" s="112"/>
      <c r="AX709" s="112"/>
      <c r="BA709" s="112"/>
      <c r="BF709" s="112"/>
      <c r="BG709" s="112"/>
      <c r="BH709" s="112"/>
      <c r="BI709" s="112"/>
    </row>
    <row r="710" ht="15.75" customHeight="1"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T710" s="112"/>
      <c r="AW710" s="112"/>
      <c r="AX710" s="112"/>
      <c r="BA710" s="112"/>
      <c r="BF710" s="112"/>
      <c r="BG710" s="112"/>
      <c r="BH710" s="112"/>
      <c r="BI710" s="112"/>
    </row>
    <row r="711" ht="15.75" customHeight="1"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T711" s="112"/>
      <c r="AW711" s="112"/>
      <c r="AX711" s="112"/>
      <c r="BA711" s="112"/>
      <c r="BF711" s="112"/>
      <c r="BG711" s="112"/>
      <c r="BH711" s="112"/>
      <c r="BI711" s="112"/>
    </row>
    <row r="712" ht="15.75" customHeight="1"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T712" s="112"/>
      <c r="AW712" s="112"/>
      <c r="AX712" s="112"/>
      <c r="BA712" s="112"/>
      <c r="BF712" s="112"/>
      <c r="BG712" s="112"/>
      <c r="BH712" s="112"/>
      <c r="BI712" s="112"/>
    </row>
    <row r="713" ht="15.75" customHeight="1"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T713" s="112"/>
      <c r="AW713" s="112"/>
      <c r="AX713" s="112"/>
      <c r="BA713" s="112"/>
      <c r="BF713" s="112"/>
      <c r="BG713" s="112"/>
      <c r="BH713" s="112"/>
      <c r="BI713" s="112"/>
    </row>
    <row r="714" ht="15.75" customHeight="1"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T714" s="112"/>
      <c r="AW714" s="112"/>
      <c r="AX714" s="112"/>
      <c r="BA714" s="112"/>
      <c r="BF714" s="112"/>
      <c r="BG714" s="112"/>
      <c r="BH714" s="112"/>
      <c r="BI714" s="112"/>
    </row>
    <row r="715" ht="15.75" customHeight="1"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W715" s="112"/>
      <c r="AX715" s="112"/>
      <c r="BA715" s="112"/>
      <c r="BF715" s="112"/>
      <c r="BG715" s="112"/>
      <c r="BH715" s="112"/>
      <c r="BI715" s="112"/>
    </row>
    <row r="716" ht="15.75" customHeight="1"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W716" s="112"/>
      <c r="AX716" s="112"/>
      <c r="BA716" s="112"/>
      <c r="BF716" s="112"/>
      <c r="BG716" s="112"/>
      <c r="BH716" s="112"/>
      <c r="BI716" s="112"/>
    </row>
    <row r="717" ht="15.75" customHeight="1"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W717" s="112"/>
      <c r="AX717" s="112"/>
      <c r="BA717" s="112"/>
      <c r="BF717" s="112"/>
      <c r="BG717" s="112"/>
      <c r="BH717" s="112"/>
      <c r="BI717" s="112"/>
    </row>
    <row r="718" ht="15.75" customHeight="1"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W718" s="112"/>
      <c r="AX718" s="112"/>
      <c r="BA718" s="112"/>
      <c r="BF718" s="112"/>
      <c r="BG718" s="112"/>
      <c r="BH718" s="112"/>
      <c r="BI718" s="112"/>
    </row>
    <row r="719" ht="15.75" customHeight="1"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W719" s="112"/>
      <c r="AX719" s="112"/>
      <c r="BA719" s="112"/>
      <c r="BF719" s="112"/>
      <c r="BG719" s="112"/>
      <c r="BH719" s="112"/>
      <c r="BI719" s="112"/>
    </row>
    <row r="720" ht="15.75" customHeight="1"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W720" s="112"/>
      <c r="AX720" s="112"/>
      <c r="BA720" s="112"/>
      <c r="BF720" s="112"/>
      <c r="BG720" s="112"/>
      <c r="BH720" s="112"/>
      <c r="BI720" s="112"/>
    </row>
    <row r="721" ht="15.75" customHeight="1"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T721" s="112"/>
      <c r="AW721" s="112"/>
      <c r="AX721" s="112"/>
      <c r="BA721" s="112"/>
      <c r="BF721" s="112"/>
      <c r="BG721" s="112"/>
      <c r="BH721" s="112"/>
      <c r="BI721" s="112"/>
    </row>
    <row r="722" ht="15.75" customHeight="1"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T722" s="112"/>
      <c r="AW722" s="112"/>
      <c r="AX722" s="112"/>
      <c r="BA722" s="112"/>
      <c r="BF722" s="112"/>
      <c r="BG722" s="112"/>
      <c r="BH722" s="112"/>
      <c r="BI722" s="112"/>
    </row>
    <row r="723" ht="15.75" customHeight="1"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T723" s="112"/>
      <c r="AW723" s="112"/>
      <c r="AX723" s="112"/>
      <c r="BA723" s="112"/>
      <c r="BF723" s="112"/>
      <c r="BG723" s="112"/>
      <c r="BH723" s="112"/>
      <c r="BI723" s="112"/>
    </row>
    <row r="724" ht="15.75" customHeight="1"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T724" s="112"/>
      <c r="AW724" s="112"/>
      <c r="AX724" s="112"/>
      <c r="BA724" s="112"/>
      <c r="BF724" s="112"/>
      <c r="BG724" s="112"/>
      <c r="BH724" s="112"/>
      <c r="BI724" s="112"/>
    </row>
    <row r="725" ht="15.75" customHeight="1"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T725" s="112"/>
      <c r="AW725" s="112"/>
      <c r="AX725" s="112"/>
      <c r="BA725" s="112"/>
      <c r="BF725" s="112"/>
      <c r="BG725" s="112"/>
      <c r="BH725" s="112"/>
      <c r="BI725" s="112"/>
    </row>
    <row r="726" ht="15.75" customHeight="1"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T726" s="112"/>
      <c r="AW726" s="112"/>
      <c r="AX726" s="112"/>
      <c r="BA726" s="112"/>
      <c r="BF726" s="112"/>
      <c r="BG726" s="112"/>
      <c r="BH726" s="112"/>
      <c r="BI726" s="112"/>
    </row>
    <row r="727" ht="15.75" customHeight="1"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T727" s="112"/>
      <c r="AW727" s="112"/>
      <c r="AX727" s="112"/>
      <c r="BA727" s="112"/>
      <c r="BF727" s="112"/>
      <c r="BG727" s="112"/>
      <c r="BH727" s="112"/>
      <c r="BI727" s="112"/>
    </row>
    <row r="728" ht="15.75" customHeight="1"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T728" s="112"/>
      <c r="AW728" s="112"/>
      <c r="AX728" s="112"/>
      <c r="BA728" s="112"/>
      <c r="BF728" s="112"/>
      <c r="BG728" s="112"/>
      <c r="BH728" s="112"/>
      <c r="BI728" s="112"/>
    </row>
    <row r="729" ht="15.75" customHeight="1"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T729" s="112"/>
      <c r="AW729" s="112"/>
      <c r="AX729" s="112"/>
      <c r="BA729" s="112"/>
      <c r="BF729" s="112"/>
      <c r="BG729" s="112"/>
      <c r="BH729" s="112"/>
      <c r="BI729" s="112"/>
    </row>
    <row r="730" ht="15.75" customHeight="1"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T730" s="112"/>
      <c r="AW730" s="112"/>
      <c r="AX730" s="112"/>
      <c r="BA730" s="112"/>
      <c r="BF730" s="112"/>
      <c r="BG730" s="112"/>
      <c r="BH730" s="112"/>
      <c r="BI730" s="112"/>
    </row>
    <row r="731" ht="15.75" customHeight="1"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T731" s="112"/>
      <c r="AW731" s="112"/>
      <c r="AX731" s="112"/>
      <c r="BA731" s="112"/>
      <c r="BF731" s="112"/>
      <c r="BG731" s="112"/>
      <c r="BH731" s="112"/>
      <c r="BI731" s="112"/>
    </row>
    <row r="732" ht="15.75" customHeight="1"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T732" s="112"/>
      <c r="AW732" s="112"/>
      <c r="AX732" s="112"/>
      <c r="BA732" s="112"/>
      <c r="BF732" s="112"/>
      <c r="BG732" s="112"/>
      <c r="BH732" s="112"/>
      <c r="BI732" s="112"/>
    </row>
    <row r="733" ht="15.75" customHeight="1"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T733" s="112"/>
      <c r="AW733" s="112"/>
      <c r="AX733" s="112"/>
      <c r="BA733" s="112"/>
      <c r="BF733" s="112"/>
      <c r="BG733" s="112"/>
      <c r="BH733" s="112"/>
      <c r="BI733" s="112"/>
    </row>
    <row r="734" ht="15.75" customHeight="1"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T734" s="112"/>
      <c r="AW734" s="112"/>
      <c r="AX734" s="112"/>
      <c r="BA734" s="112"/>
      <c r="BF734" s="112"/>
      <c r="BG734" s="112"/>
      <c r="BH734" s="112"/>
      <c r="BI734" s="112"/>
    </row>
    <row r="735" ht="15.75" customHeight="1"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T735" s="112"/>
      <c r="AW735" s="112"/>
      <c r="AX735" s="112"/>
      <c r="BA735" s="112"/>
      <c r="BF735" s="112"/>
      <c r="BG735" s="112"/>
      <c r="BH735" s="112"/>
      <c r="BI735" s="112"/>
    </row>
    <row r="736" ht="15.75" customHeight="1"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T736" s="112"/>
      <c r="AW736" s="112"/>
      <c r="AX736" s="112"/>
      <c r="BA736" s="112"/>
      <c r="BF736" s="112"/>
      <c r="BG736" s="112"/>
      <c r="BH736" s="112"/>
      <c r="BI736" s="112"/>
    </row>
    <row r="737" ht="15.75" customHeight="1"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T737" s="112"/>
      <c r="AW737" s="112"/>
      <c r="AX737" s="112"/>
      <c r="BA737" s="112"/>
      <c r="BF737" s="112"/>
      <c r="BG737" s="112"/>
      <c r="BH737" s="112"/>
      <c r="BI737" s="112"/>
    </row>
    <row r="738" ht="15.75" customHeight="1"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T738" s="112"/>
      <c r="AW738" s="112"/>
      <c r="AX738" s="112"/>
      <c r="BA738" s="112"/>
      <c r="BF738" s="112"/>
      <c r="BG738" s="112"/>
      <c r="BH738" s="112"/>
      <c r="BI738" s="112"/>
    </row>
    <row r="739" ht="15.75" customHeight="1"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T739" s="112"/>
      <c r="AW739" s="112"/>
      <c r="AX739" s="112"/>
      <c r="BA739" s="112"/>
      <c r="BF739" s="112"/>
      <c r="BG739" s="112"/>
      <c r="BH739" s="112"/>
      <c r="BI739" s="112"/>
    </row>
    <row r="740" ht="15.75" customHeight="1"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T740" s="112"/>
      <c r="AW740" s="112"/>
      <c r="AX740" s="112"/>
      <c r="BA740" s="112"/>
      <c r="BF740" s="112"/>
      <c r="BG740" s="112"/>
      <c r="BH740" s="112"/>
      <c r="BI740" s="112"/>
    </row>
    <row r="741" ht="15.75" customHeight="1"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T741" s="112"/>
      <c r="AW741" s="112"/>
      <c r="AX741" s="112"/>
      <c r="BA741" s="112"/>
      <c r="BF741" s="112"/>
      <c r="BG741" s="112"/>
      <c r="BH741" s="112"/>
      <c r="BI741" s="112"/>
    </row>
    <row r="742" ht="15.75" customHeight="1"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T742" s="112"/>
      <c r="AW742" s="112"/>
      <c r="AX742" s="112"/>
      <c r="BA742" s="112"/>
      <c r="BF742" s="112"/>
      <c r="BG742" s="112"/>
      <c r="BH742" s="112"/>
      <c r="BI742" s="112"/>
    </row>
    <row r="743" ht="15.75" customHeight="1"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T743" s="112"/>
      <c r="AW743" s="112"/>
      <c r="AX743" s="112"/>
      <c r="BA743" s="112"/>
      <c r="BF743" s="112"/>
      <c r="BG743" s="112"/>
      <c r="BH743" s="112"/>
      <c r="BI743" s="112"/>
    </row>
    <row r="744" ht="15.75" customHeight="1"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T744" s="112"/>
      <c r="AW744" s="112"/>
      <c r="AX744" s="112"/>
      <c r="BA744" s="112"/>
      <c r="BF744" s="112"/>
      <c r="BG744" s="112"/>
      <c r="BH744" s="112"/>
      <c r="BI744" s="112"/>
    </row>
    <row r="745" ht="15.75" customHeight="1"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T745" s="112"/>
      <c r="AW745" s="112"/>
      <c r="AX745" s="112"/>
      <c r="BA745" s="112"/>
      <c r="BF745" s="112"/>
      <c r="BG745" s="112"/>
      <c r="BH745" s="112"/>
      <c r="BI745" s="112"/>
    </row>
    <row r="746" ht="15.75" customHeight="1"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T746" s="112"/>
      <c r="AW746" s="112"/>
      <c r="AX746" s="112"/>
      <c r="BA746" s="112"/>
      <c r="BF746" s="112"/>
      <c r="BG746" s="112"/>
      <c r="BH746" s="112"/>
      <c r="BI746" s="112"/>
    </row>
    <row r="747" ht="15.75" customHeight="1"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T747" s="112"/>
      <c r="AW747" s="112"/>
      <c r="AX747" s="112"/>
      <c r="BA747" s="112"/>
      <c r="BF747" s="112"/>
      <c r="BG747" s="112"/>
      <c r="BH747" s="112"/>
      <c r="BI747" s="112"/>
    </row>
    <row r="748" ht="15.75" customHeight="1"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T748" s="112"/>
      <c r="AW748" s="112"/>
      <c r="AX748" s="112"/>
      <c r="BA748" s="112"/>
      <c r="BF748" s="112"/>
      <c r="BG748" s="112"/>
      <c r="BH748" s="112"/>
      <c r="BI748" s="112"/>
    </row>
    <row r="749" ht="15.75" customHeight="1"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T749" s="112"/>
      <c r="AW749" s="112"/>
      <c r="AX749" s="112"/>
      <c r="BA749" s="112"/>
      <c r="BF749" s="112"/>
      <c r="BG749" s="112"/>
      <c r="BH749" s="112"/>
      <c r="BI749" s="112"/>
    </row>
    <row r="750" ht="15.75" customHeight="1"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T750" s="112"/>
      <c r="AW750" s="112"/>
      <c r="AX750" s="112"/>
      <c r="BA750" s="112"/>
      <c r="BF750" s="112"/>
      <c r="BG750" s="112"/>
      <c r="BH750" s="112"/>
      <c r="BI750" s="112"/>
    </row>
    <row r="751" ht="15.75" customHeight="1"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T751" s="112"/>
      <c r="AW751" s="112"/>
      <c r="AX751" s="112"/>
      <c r="BA751" s="112"/>
      <c r="BF751" s="112"/>
      <c r="BG751" s="112"/>
      <c r="BH751" s="112"/>
      <c r="BI751" s="112"/>
    </row>
    <row r="752" ht="15.75" customHeight="1"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T752" s="112"/>
      <c r="AW752" s="112"/>
      <c r="AX752" s="112"/>
      <c r="BA752" s="112"/>
      <c r="BF752" s="112"/>
      <c r="BG752" s="112"/>
      <c r="BH752" s="112"/>
      <c r="BI752" s="112"/>
    </row>
    <row r="753" ht="15.75" customHeight="1"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T753" s="112"/>
      <c r="AW753" s="112"/>
      <c r="AX753" s="112"/>
      <c r="BA753" s="112"/>
      <c r="BF753" s="112"/>
      <c r="BG753" s="112"/>
      <c r="BH753" s="112"/>
      <c r="BI753" s="112"/>
    </row>
    <row r="754" ht="15.75" customHeight="1"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T754" s="112"/>
      <c r="AW754" s="112"/>
      <c r="AX754" s="112"/>
      <c r="BA754" s="112"/>
      <c r="BF754" s="112"/>
      <c r="BG754" s="112"/>
      <c r="BH754" s="112"/>
      <c r="BI754" s="112"/>
    </row>
    <row r="755" ht="15.75" customHeight="1"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T755" s="112"/>
      <c r="AW755" s="112"/>
      <c r="AX755" s="112"/>
      <c r="BA755" s="112"/>
      <c r="BF755" s="112"/>
      <c r="BG755" s="112"/>
      <c r="BH755" s="112"/>
      <c r="BI755" s="112"/>
    </row>
    <row r="756" ht="15.75" customHeight="1"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T756" s="112"/>
      <c r="AW756" s="112"/>
      <c r="AX756" s="112"/>
      <c r="BA756" s="112"/>
      <c r="BF756" s="112"/>
      <c r="BG756" s="112"/>
      <c r="BH756" s="112"/>
      <c r="BI756" s="112"/>
    </row>
    <row r="757" ht="15.75" customHeight="1"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W757" s="112"/>
      <c r="AX757" s="112"/>
      <c r="BA757" s="112"/>
      <c r="BF757" s="112"/>
      <c r="BG757" s="112"/>
      <c r="BH757" s="112"/>
      <c r="BI757" s="112"/>
    </row>
    <row r="758" ht="15.75" customHeight="1"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T758" s="112"/>
      <c r="AW758" s="112"/>
      <c r="AX758" s="112"/>
      <c r="BA758" s="112"/>
      <c r="BF758" s="112"/>
      <c r="BG758" s="112"/>
      <c r="BH758" s="112"/>
      <c r="BI758" s="112"/>
    </row>
    <row r="759" ht="15.75" customHeight="1"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T759" s="112"/>
      <c r="AW759" s="112"/>
      <c r="AX759" s="112"/>
      <c r="BA759" s="112"/>
      <c r="BF759" s="112"/>
      <c r="BG759" s="112"/>
      <c r="BH759" s="112"/>
      <c r="BI759" s="112"/>
    </row>
    <row r="760" ht="15.75" customHeight="1"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T760" s="112"/>
      <c r="AW760" s="112"/>
      <c r="AX760" s="112"/>
      <c r="BA760" s="112"/>
      <c r="BF760" s="112"/>
      <c r="BG760" s="112"/>
      <c r="BH760" s="112"/>
      <c r="BI760" s="112"/>
    </row>
    <row r="761" ht="15.75" customHeight="1"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T761" s="112"/>
      <c r="AW761" s="112"/>
      <c r="AX761" s="112"/>
      <c r="BA761" s="112"/>
      <c r="BF761" s="112"/>
      <c r="BG761" s="112"/>
      <c r="BH761" s="112"/>
      <c r="BI761" s="112"/>
    </row>
    <row r="762" ht="15.75" customHeight="1"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T762" s="112"/>
      <c r="AW762" s="112"/>
      <c r="AX762" s="112"/>
      <c r="BA762" s="112"/>
      <c r="BF762" s="112"/>
      <c r="BG762" s="112"/>
      <c r="BH762" s="112"/>
      <c r="BI762" s="112"/>
    </row>
    <row r="763" ht="15.75" customHeight="1"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T763" s="112"/>
      <c r="AW763" s="112"/>
      <c r="AX763" s="112"/>
      <c r="BA763" s="112"/>
      <c r="BF763" s="112"/>
      <c r="BG763" s="112"/>
      <c r="BH763" s="112"/>
      <c r="BI763" s="112"/>
    </row>
    <row r="764" ht="15.75" customHeight="1"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W764" s="112"/>
      <c r="AX764" s="112"/>
      <c r="BA764" s="112"/>
      <c r="BF764" s="112"/>
      <c r="BG764" s="112"/>
      <c r="BH764" s="112"/>
      <c r="BI764" s="112"/>
    </row>
    <row r="765" ht="15.75" customHeight="1"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T765" s="112"/>
      <c r="AW765" s="112"/>
      <c r="AX765" s="112"/>
      <c r="BA765" s="112"/>
      <c r="BF765" s="112"/>
      <c r="BG765" s="112"/>
      <c r="BH765" s="112"/>
      <c r="BI765" s="112"/>
    </row>
    <row r="766" ht="15.75" customHeight="1"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T766" s="112"/>
      <c r="AW766" s="112"/>
      <c r="AX766" s="112"/>
      <c r="BA766" s="112"/>
      <c r="BF766" s="112"/>
      <c r="BG766" s="112"/>
      <c r="BH766" s="112"/>
      <c r="BI766" s="112"/>
    </row>
    <row r="767" ht="15.75" customHeight="1"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T767" s="112"/>
      <c r="AW767" s="112"/>
      <c r="AX767" s="112"/>
      <c r="BA767" s="112"/>
      <c r="BF767" s="112"/>
      <c r="BG767" s="112"/>
      <c r="BH767" s="112"/>
      <c r="BI767" s="112"/>
    </row>
    <row r="768" ht="15.75" customHeight="1"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T768" s="112"/>
      <c r="AW768" s="112"/>
      <c r="AX768" s="112"/>
      <c r="BA768" s="112"/>
      <c r="BF768" s="112"/>
      <c r="BG768" s="112"/>
      <c r="BH768" s="112"/>
      <c r="BI768" s="112"/>
    </row>
    <row r="769" ht="15.75" customHeight="1"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T769" s="112"/>
      <c r="AW769" s="112"/>
      <c r="AX769" s="112"/>
      <c r="BA769" s="112"/>
      <c r="BF769" s="112"/>
      <c r="BG769" s="112"/>
      <c r="BH769" s="112"/>
      <c r="BI769" s="112"/>
    </row>
    <row r="770" ht="15.75" customHeight="1"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T770" s="112"/>
      <c r="AW770" s="112"/>
      <c r="AX770" s="112"/>
      <c r="BA770" s="112"/>
      <c r="BF770" s="112"/>
      <c r="BG770" s="112"/>
      <c r="BH770" s="112"/>
      <c r="BI770" s="112"/>
    </row>
    <row r="771" ht="15.75" customHeight="1"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T771" s="112"/>
      <c r="AW771" s="112"/>
      <c r="AX771" s="112"/>
      <c r="BA771" s="112"/>
      <c r="BF771" s="112"/>
      <c r="BG771" s="112"/>
      <c r="BH771" s="112"/>
      <c r="BI771" s="112"/>
    </row>
    <row r="772" ht="15.75" customHeight="1"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T772" s="112"/>
      <c r="AW772" s="112"/>
      <c r="AX772" s="112"/>
      <c r="BA772" s="112"/>
      <c r="BF772" s="112"/>
      <c r="BG772" s="112"/>
      <c r="BH772" s="112"/>
      <c r="BI772" s="112"/>
    </row>
    <row r="773" ht="15.75" customHeight="1"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T773" s="112"/>
      <c r="AW773" s="112"/>
      <c r="AX773" s="112"/>
      <c r="BA773" s="112"/>
      <c r="BF773" s="112"/>
      <c r="BG773" s="112"/>
      <c r="BH773" s="112"/>
      <c r="BI773" s="112"/>
    </row>
    <row r="774" ht="15.75" customHeight="1"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T774" s="112"/>
      <c r="AW774" s="112"/>
      <c r="AX774" s="112"/>
      <c r="BA774" s="112"/>
      <c r="BF774" s="112"/>
      <c r="BG774" s="112"/>
      <c r="BH774" s="112"/>
      <c r="BI774" s="112"/>
    </row>
    <row r="775" ht="15.75" customHeight="1"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T775" s="112"/>
      <c r="AW775" s="112"/>
      <c r="AX775" s="112"/>
      <c r="BA775" s="112"/>
      <c r="BF775" s="112"/>
      <c r="BG775" s="112"/>
      <c r="BH775" s="112"/>
      <c r="BI775" s="112"/>
    </row>
    <row r="776" ht="15.75" customHeight="1"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T776" s="112"/>
      <c r="AW776" s="112"/>
      <c r="AX776" s="112"/>
      <c r="BA776" s="112"/>
      <c r="BF776" s="112"/>
      <c r="BG776" s="112"/>
      <c r="BH776" s="112"/>
      <c r="BI776" s="112"/>
    </row>
    <row r="777" ht="15.75" customHeight="1"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T777" s="112"/>
      <c r="AW777" s="112"/>
      <c r="AX777" s="112"/>
      <c r="BA777" s="112"/>
      <c r="BF777" s="112"/>
      <c r="BG777" s="112"/>
      <c r="BH777" s="112"/>
      <c r="BI777" s="112"/>
    </row>
    <row r="778" ht="15.75" customHeight="1"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T778" s="112"/>
      <c r="AW778" s="112"/>
      <c r="AX778" s="112"/>
      <c r="BA778" s="112"/>
      <c r="BF778" s="112"/>
      <c r="BG778" s="112"/>
      <c r="BH778" s="112"/>
      <c r="BI778" s="112"/>
    </row>
    <row r="779" ht="15.75" customHeight="1"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T779" s="112"/>
      <c r="AW779" s="112"/>
      <c r="AX779" s="112"/>
      <c r="BA779" s="112"/>
      <c r="BF779" s="112"/>
      <c r="BG779" s="112"/>
      <c r="BH779" s="112"/>
      <c r="BI779" s="112"/>
    </row>
    <row r="780" ht="15.75" customHeight="1"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T780" s="112"/>
      <c r="AW780" s="112"/>
      <c r="AX780" s="112"/>
      <c r="BA780" s="112"/>
      <c r="BF780" s="112"/>
      <c r="BG780" s="112"/>
      <c r="BH780" s="112"/>
      <c r="BI780" s="112"/>
    </row>
    <row r="781" ht="15.75" customHeight="1"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T781" s="112"/>
      <c r="AW781" s="112"/>
      <c r="AX781" s="112"/>
      <c r="BA781" s="112"/>
      <c r="BF781" s="112"/>
      <c r="BG781" s="112"/>
      <c r="BH781" s="112"/>
      <c r="BI781" s="112"/>
    </row>
    <row r="782" ht="15.75" customHeight="1"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T782" s="112"/>
      <c r="AW782" s="112"/>
      <c r="AX782" s="112"/>
      <c r="BA782" s="112"/>
      <c r="BF782" s="112"/>
      <c r="BG782" s="112"/>
      <c r="BH782" s="112"/>
      <c r="BI782" s="112"/>
    </row>
    <row r="783" ht="15.75" customHeight="1"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112"/>
      <c r="AW783" s="112"/>
      <c r="AX783" s="112"/>
      <c r="BA783" s="112"/>
      <c r="BF783" s="112"/>
      <c r="BG783" s="112"/>
      <c r="BH783" s="112"/>
      <c r="BI783" s="112"/>
    </row>
    <row r="784" ht="15.75" customHeight="1"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T784" s="112"/>
      <c r="AW784" s="112"/>
      <c r="AX784" s="112"/>
      <c r="BA784" s="112"/>
      <c r="BF784" s="112"/>
      <c r="BG784" s="112"/>
      <c r="BH784" s="112"/>
      <c r="BI784" s="112"/>
    </row>
    <row r="785" ht="15.75" customHeight="1"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T785" s="112"/>
      <c r="AW785" s="112"/>
      <c r="AX785" s="112"/>
      <c r="BA785" s="112"/>
      <c r="BF785" s="112"/>
      <c r="BG785" s="112"/>
      <c r="BH785" s="112"/>
      <c r="BI785" s="112"/>
    </row>
    <row r="786" ht="15.75" customHeight="1"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T786" s="112"/>
      <c r="AW786" s="112"/>
      <c r="AX786" s="112"/>
      <c r="BA786" s="112"/>
      <c r="BF786" s="112"/>
      <c r="BG786" s="112"/>
      <c r="BH786" s="112"/>
      <c r="BI786" s="112"/>
    </row>
    <row r="787" ht="15.75" customHeight="1"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T787" s="112"/>
      <c r="AW787" s="112"/>
      <c r="AX787" s="112"/>
      <c r="BA787" s="112"/>
      <c r="BF787" s="112"/>
      <c r="BG787" s="112"/>
      <c r="BH787" s="112"/>
      <c r="BI787" s="112"/>
    </row>
    <row r="788" ht="15.75" customHeight="1"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T788" s="112"/>
      <c r="AW788" s="112"/>
      <c r="AX788" s="112"/>
      <c r="BA788" s="112"/>
      <c r="BF788" s="112"/>
      <c r="BG788" s="112"/>
      <c r="BH788" s="112"/>
      <c r="BI788" s="112"/>
    </row>
    <row r="789" ht="15.75" customHeight="1"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T789" s="112"/>
      <c r="AW789" s="112"/>
      <c r="AX789" s="112"/>
      <c r="BA789" s="112"/>
      <c r="BF789" s="112"/>
      <c r="BG789" s="112"/>
      <c r="BH789" s="112"/>
      <c r="BI789" s="112"/>
    </row>
    <row r="790" ht="15.75" customHeight="1"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T790" s="112"/>
      <c r="AW790" s="112"/>
      <c r="AX790" s="112"/>
      <c r="BA790" s="112"/>
      <c r="BF790" s="112"/>
      <c r="BG790" s="112"/>
      <c r="BH790" s="112"/>
      <c r="BI790" s="112"/>
    </row>
    <row r="791" ht="15.75" customHeight="1"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T791" s="112"/>
      <c r="AW791" s="112"/>
      <c r="AX791" s="112"/>
      <c r="BA791" s="112"/>
      <c r="BF791" s="112"/>
      <c r="BG791" s="112"/>
      <c r="BH791" s="112"/>
      <c r="BI791" s="112"/>
    </row>
    <row r="792" ht="15.75" customHeight="1"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T792" s="112"/>
      <c r="AW792" s="112"/>
      <c r="AX792" s="112"/>
      <c r="BA792" s="112"/>
      <c r="BF792" s="112"/>
      <c r="BG792" s="112"/>
      <c r="BH792" s="112"/>
      <c r="BI792" s="112"/>
    </row>
    <row r="793" ht="15.75" customHeight="1"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T793" s="112"/>
      <c r="AW793" s="112"/>
      <c r="AX793" s="112"/>
      <c r="BA793" s="112"/>
      <c r="BF793" s="112"/>
      <c r="BG793" s="112"/>
      <c r="BH793" s="112"/>
      <c r="BI793" s="112"/>
    </row>
    <row r="794" ht="15.75" customHeight="1"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/>
      <c r="AW794" s="112"/>
      <c r="AX794" s="112"/>
      <c r="BA794" s="112"/>
      <c r="BF794" s="112"/>
      <c r="BG794" s="112"/>
      <c r="BH794" s="112"/>
      <c r="BI794" s="112"/>
    </row>
    <row r="795" ht="15.75" customHeight="1"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/>
      <c r="AW795" s="112"/>
      <c r="AX795" s="112"/>
      <c r="BA795" s="112"/>
      <c r="BF795" s="112"/>
      <c r="BG795" s="112"/>
      <c r="BH795" s="112"/>
      <c r="BI795" s="112"/>
    </row>
    <row r="796" ht="15.75" customHeight="1"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T796" s="112"/>
      <c r="AW796" s="112"/>
      <c r="AX796" s="112"/>
      <c r="BA796" s="112"/>
      <c r="BF796" s="112"/>
      <c r="BG796" s="112"/>
      <c r="BH796" s="112"/>
      <c r="BI796" s="112"/>
    </row>
    <row r="797" ht="15.75" customHeight="1"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T797" s="112"/>
      <c r="AW797" s="112"/>
      <c r="AX797" s="112"/>
      <c r="BA797" s="112"/>
      <c r="BF797" s="112"/>
      <c r="BG797" s="112"/>
      <c r="BH797" s="112"/>
      <c r="BI797" s="112"/>
    </row>
    <row r="798" ht="15.75" customHeight="1"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T798" s="112"/>
      <c r="AW798" s="112"/>
      <c r="AX798" s="112"/>
      <c r="BA798" s="112"/>
      <c r="BF798" s="112"/>
      <c r="BG798" s="112"/>
      <c r="BH798" s="112"/>
      <c r="BI798" s="112"/>
    </row>
    <row r="799" ht="15.75" customHeight="1"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T799" s="112"/>
      <c r="AW799" s="112"/>
      <c r="AX799" s="112"/>
      <c r="BA799" s="112"/>
      <c r="BF799" s="112"/>
      <c r="BG799" s="112"/>
      <c r="BH799" s="112"/>
      <c r="BI799" s="112"/>
    </row>
    <row r="800" ht="15.75" customHeight="1"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T800" s="112"/>
      <c r="AW800" s="112"/>
      <c r="AX800" s="112"/>
      <c r="BA800" s="112"/>
      <c r="BF800" s="112"/>
      <c r="BG800" s="112"/>
      <c r="BH800" s="112"/>
      <c r="BI800" s="112"/>
    </row>
    <row r="801" ht="15.75" customHeight="1"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T801" s="112"/>
      <c r="AW801" s="112"/>
      <c r="AX801" s="112"/>
      <c r="BA801" s="112"/>
      <c r="BF801" s="112"/>
      <c r="BG801" s="112"/>
      <c r="BH801" s="112"/>
      <c r="BI801" s="112"/>
    </row>
    <row r="802" ht="15.75" customHeight="1"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T802" s="112"/>
      <c r="AW802" s="112"/>
      <c r="AX802" s="112"/>
      <c r="BA802" s="112"/>
      <c r="BF802" s="112"/>
      <c r="BG802" s="112"/>
      <c r="BH802" s="112"/>
      <c r="BI802" s="112"/>
    </row>
    <row r="803" ht="15.75" customHeight="1"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T803" s="112"/>
      <c r="AW803" s="112"/>
      <c r="AX803" s="112"/>
      <c r="BA803" s="112"/>
      <c r="BF803" s="112"/>
      <c r="BG803" s="112"/>
      <c r="BH803" s="112"/>
      <c r="BI803" s="112"/>
    </row>
    <row r="804" ht="15.75" customHeight="1"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T804" s="112"/>
      <c r="AW804" s="112"/>
      <c r="AX804" s="112"/>
      <c r="BA804" s="112"/>
      <c r="BF804" s="112"/>
      <c r="BG804" s="112"/>
      <c r="BH804" s="112"/>
      <c r="BI804" s="112"/>
    </row>
    <row r="805" ht="15.75" customHeight="1"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T805" s="112"/>
      <c r="AW805" s="112"/>
      <c r="AX805" s="112"/>
      <c r="BA805" s="112"/>
      <c r="BF805" s="112"/>
      <c r="BG805" s="112"/>
      <c r="BH805" s="112"/>
      <c r="BI805" s="112"/>
    </row>
    <row r="806" ht="15.75" customHeight="1"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T806" s="112"/>
      <c r="AW806" s="112"/>
      <c r="AX806" s="112"/>
      <c r="BA806" s="112"/>
      <c r="BF806" s="112"/>
      <c r="BG806" s="112"/>
      <c r="BH806" s="112"/>
      <c r="BI806" s="112"/>
    </row>
    <row r="807" ht="15.75" customHeight="1"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T807" s="112"/>
      <c r="AW807" s="112"/>
      <c r="AX807" s="112"/>
      <c r="BA807" s="112"/>
      <c r="BF807" s="112"/>
      <c r="BG807" s="112"/>
      <c r="BH807" s="112"/>
      <c r="BI807" s="112"/>
    </row>
    <row r="808" ht="15.75" customHeight="1"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T808" s="112"/>
      <c r="AW808" s="112"/>
      <c r="AX808" s="112"/>
      <c r="BA808" s="112"/>
      <c r="BF808" s="112"/>
      <c r="BG808" s="112"/>
      <c r="BH808" s="112"/>
      <c r="BI808" s="112"/>
    </row>
    <row r="809" ht="15.75" customHeight="1"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T809" s="112"/>
      <c r="AW809" s="112"/>
      <c r="AX809" s="112"/>
      <c r="BA809" s="112"/>
      <c r="BF809" s="112"/>
      <c r="BG809" s="112"/>
      <c r="BH809" s="112"/>
      <c r="BI809" s="112"/>
    </row>
    <row r="810" ht="15.75" customHeight="1"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T810" s="112"/>
      <c r="AW810" s="112"/>
      <c r="AX810" s="112"/>
      <c r="BA810" s="112"/>
      <c r="BF810" s="112"/>
      <c r="BG810" s="112"/>
      <c r="BH810" s="112"/>
      <c r="BI810" s="112"/>
    </row>
    <row r="811" ht="15.75" customHeight="1"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T811" s="112"/>
      <c r="AW811" s="112"/>
      <c r="AX811" s="112"/>
      <c r="BA811" s="112"/>
      <c r="BF811" s="112"/>
      <c r="BG811" s="112"/>
      <c r="BH811" s="112"/>
      <c r="BI811" s="112"/>
    </row>
    <row r="812" ht="15.75" customHeight="1"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T812" s="112"/>
      <c r="AW812" s="112"/>
      <c r="AX812" s="112"/>
      <c r="BA812" s="112"/>
      <c r="BF812" s="112"/>
      <c r="BG812" s="112"/>
      <c r="BH812" s="112"/>
      <c r="BI812" s="112"/>
    </row>
    <row r="813" ht="15.75" customHeight="1"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T813" s="112"/>
      <c r="AW813" s="112"/>
      <c r="AX813" s="112"/>
      <c r="BA813" s="112"/>
      <c r="BF813" s="112"/>
      <c r="BG813" s="112"/>
      <c r="BH813" s="112"/>
      <c r="BI813" s="112"/>
    </row>
    <row r="814" ht="15.75" customHeight="1"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T814" s="112"/>
      <c r="AW814" s="112"/>
      <c r="AX814" s="112"/>
      <c r="BA814" s="112"/>
      <c r="BF814" s="112"/>
      <c r="BG814" s="112"/>
      <c r="BH814" s="112"/>
      <c r="BI814" s="112"/>
    </row>
    <row r="815" ht="15.75" customHeight="1"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T815" s="112"/>
      <c r="AW815" s="112"/>
      <c r="AX815" s="112"/>
      <c r="BA815" s="112"/>
      <c r="BF815" s="112"/>
      <c r="BG815" s="112"/>
      <c r="BH815" s="112"/>
      <c r="BI815" s="112"/>
    </row>
    <row r="816" ht="15.75" customHeight="1"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T816" s="112"/>
      <c r="AW816" s="112"/>
      <c r="AX816" s="112"/>
      <c r="BA816" s="112"/>
      <c r="BF816" s="112"/>
      <c r="BG816" s="112"/>
      <c r="BH816" s="112"/>
      <c r="BI816" s="112"/>
    </row>
    <row r="817" ht="15.75" customHeight="1"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T817" s="112"/>
      <c r="AW817" s="112"/>
      <c r="AX817" s="112"/>
      <c r="BA817" s="112"/>
      <c r="BF817" s="112"/>
      <c r="BG817" s="112"/>
      <c r="BH817" s="112"/>
      <c r="BI817" s="112"/>
    </row>
    <row r="818" ht="15.75" customHeight="1"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  <c r="AW818" s="112"/>
      <c r="AX818" s="112"/>
      <c r="BA818" s="112"/>
      <c r="BF818" s="112"/>
      <c r="BG818" s="112"/>
      <c r="BH818" s="112"/>
      <c r="BI818" s="112"/>
    </row>
    <row r="819" ht="15.75" customHeight="1"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  <c r="AW819" s="112"/>
      <c r="AX819" s="112"/>
      <c r="BA819" s="112"/>
      <c r="BF819" s="112"/>
      <c r="BG819" s="112"/>
      <c r="BH819" s="112"/>
      <c r="BI819" s="112"/>
    </row>
    <row r="820" ht="15.75" customHeight="1"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T820" s="112"/>
      <c r="AW820" s="112"/>
      <c r="AX820" s="112"/>
      <c r="BA820" s="112"/>
      <c r="BF820" s="112"/>
      <c r="BG820" s="112"/>
      <c r="BH820" s="112"/>
      <c r="BI820" s="112"/>
    </row>
    <row r="821" ht="15.75" customHeight="1"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T821" s="112"/>
      <c r="AW821" s="112"/>
      <c r="AX821" s="112"/>
      <c r="BA821" s="112"/>
      <c r="BF821" s="112"/>
      <c r="BG821" s="112"/>
      <c r="BH821" s="112"/>
      <c r="BI821" s="112"/>
    </row>
    <row r="822" ht="15.75" customHeight="1"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  <c r="AW822" s="112"/>
      <c r="AX822" s="112"/>
      <c r="BA822" s="112"/>
      <c r="BF822" s="112"/>
      <c r="BG822" s="112"/>
      <c r="BH822" s="112"/>
      <c r="BI822" s="112"/>
    </row>
    <row r="823" ht="15.75" customHeight="1"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T823" s="112"/>
      <c r="AW823" s="112"/>
      <c r="AX823" s="112"/>
      <c r="BA823" s="112"/>
      <c r="BF823" s="112"/>
      <c r="BG823" s="112"/>
      <c r="BH823" s="112"/>
      <c r="BI823" s="112"/>
    </row>
    <row r="824" ht="15.75" customHeight="1"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T824" s="112"/>
      <c r="AW824" s="112"/>
      <c r="AX824" s="112"/>
      <c r="BA824" s="112"/>
      <c r="BF824" s="112"/>
      <c r="BG824" s="112"/>
      <c r="BH824" s="112"/>
      <c r="BI824" s="112"/>
    </row>
    <row r="825" ht="15.75" customHeight="1"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T825" s="112"/>
      <c r="AW825" s="112"/>
      <c r="AX825" s="112"/>
      <c r="BA825" s="112"/>
      <c r="BF825" s="112"/>
      <c r="BG825" s="112"/>
      <c r="BH825" s="112"/>
      <c r="BI825" s="112"/>
    </row>
    <row r="826" ht="15.75" customHeight="1"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T826" s="112"/>
      <c r="AW826" s="112"/>
      <c r="AX826" s="112"/>
      <c r="BA826" s="112"/>
      <c r="BF826" s="112"/>
      <c r="BG826" s="112"/>
      <c r="BH826" s="112"/>
      <c r="BI826" s="112"/>
    </row>
    <row r="827" ht="15.75" customHeight="1"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T827" s="112"/>
      <c r="AW827" s="112"/>
      <c r="AX827" s="112"/>
      <c r="BA827" s="112"/>
      <c r="BF827" s="112"/>
      <c r="BG827" s="112"/>
      <c r="BH827" s="112"/>
      <c r="BI827" s="112"/>
    </row>
    <row r="828" ht="15.75" customHeight="1"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T828" s="112"/>
      <c r="AW828" s="112"/>
      <c r="AX828" s="112"/>
      <c r="BA828" s="112"/>
      <c r="BF828" s="112"/>
      <c r="BG828" s="112"/>
      <c r="BH828" s="112"/>
      <c r="BI828" s="112"/>
    </row>
    <row r="829" ht="15.75" customHeight="1"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112"/>
      <c r="AW829" s="112"/>
      <c r="AX829" s="112"/>
      <c r="BA829" s="112"/>
      <c r="BF829" s="112"/>
      <c r="BG829" s="112"/>
      <c r="BH829" s="112"/>
      <c r="BI829" s="112"/>
    </row>
    <row r="830" ht="15.75" customHeight="1"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T830" s="112"/>
      <c r="AW830" s="112"/>
      <c r="AX830" s="112"/>
      <c r="BA830" s="112"/>
      <c r="BF830" s="112"/>
      <c r="BG830" s="112"/>
      <c r="BH830" s="112"/>
      <c r="BI830" s="112"/>
    </row>
    <row r="831" ht="15.75" customHeight="1"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T831" s="112"/>
      <c r="AW831" s="112"/>
      <c r="AX831" s="112"/>
      <c r="BA831" s="112"/>
      <c r="BF831" s="112"/>
      <c r="BG831" s="112"/>
      <c r="BH831" s="112"/>
      <c r="BI831" s="112"/>
    </row>
    <row r="832" ht="15.75" customHeight="1"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T832" s="112"/>
      <c r="AW832" s="112"/>
      <c r="AX832" s="112"/>
      <c r="BA832" s="112"/>
      <c r="BF832" s="112"/>
      <c r="BG832" s="112"/>
      <c r="BH832" s="112"/>
      <c r="BI832" s="112"/>
    </row>
    <row r="833" ht="15.75" customHeight="1"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T833" s="112"/>
      <c r="AW833" s="112"/>
      <c r="AX833" s="112"/>
      <c r="BA833" s="112"/>
      <c r="BF833" s="112"/>
      <c r="BG833" s="112"/>
      <c r="BH833" s="112"/>
      <c r="BI833" s="112"/>
    </row>
    <row r="834" ht="15.75" customHeight="1"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T834" s="112"/>
      <c r="AW834" s="112"/>
      <c r="AX834" s="112"/>
      <c r="BA834" s="112"/>
      <c r="BF834" s="112"/>
      <c r="BG834" s="112"/>
      <c r="BH834" s="112"/>
      <c r="BI834" s="112"/>
    </row>
    <row r="835" ht="15.75" customHeight="1"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T835" s="112"/>
      <c r="AW835" s="112"/>
      <c r="AX835" s="112"/>
      <c r="BA835" s="112"/>
      <c r="BF835" s="112"/>
      <c r="BG835" s="112"/>
      <c r="BH835" s="112"/>
      <c r="BI835" s="112"/>
    </row>
    <row r="836" ht="15.75" customHeight="1"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T836" s="112"/>
      <c r="AW836" s="112"/>
      <c r="AX836" s="112"/>
      <c r="BA836" s="112"/>
      <c r="BF836" s="112"/>
      <c r="BG836" s="112"/>
      <c r="BH836" s="112"/>
      <c r="BI836" s="112"/>
    </row>
    <row r="837" ht="15.75" customHeight="1"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T837" s="112"/>
      <c r="AW837" s="112"/>
      <c r="AX837" s="112"/>
      <c r="BA837" s="112"/>
      <c r="BF837" s="112"/>
      <c r="BG837" s="112"/>
      <c r="BH837" s="112"/>
      <c r="BI837" s="112"/>
    </row>
    <row r="838" ht="15.75" customHeight="1"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T838" s="112"/>
      <c r="AW838" s="112"/>
      <c r="AX838" s="112"/>
      <c r="BA838" s="112"/>
      <c r="BF838" s="112"/>
      <c r="BG838" s="112"/>
      <c r="BH838" s="112"/>
      <c r="BI838" s="112"/>
    </row>
    <row r="839" ht="15.75" customHeight="1"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T839" s="112"/>
      <c r="AW839" s="112"/>
      <c r="AX839" s="112"/>
      <c r="BA839" s="112"/>
      <c r="BF839" s="112"/>
      <c r="BG839" s="112"/>
      <c r="BH839" s="112"/>
      <c r="BI839" s="112"/>
    </row>
    <row r="840" ht="15.75" customHeight="1"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T840" s="112"/>
      <c r="AW840" s="112"/>
      <c r="AX840" s="112"/>
      <c r="BA840" s="112"/>
      <c r="BF840" s="112"/>
      <c r="BG840" s="112"/>
      <c r="BH840" s="112"/>
      <c r="BI840" s="112"/>
    </row>
    <row r="841" ht="15.75" customHeight="1"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T841" s="112"/>
      <c r="AW841" s="112"/>
      <c r="AX841" s="112"/>
      <c r="BA841" s="112"/>
      <c r="BF841" s="112"/>
      <c r="BG841" s="112"/>
      <c r="BH841" s="112"/>
      <c r="BI841" s="112"/>
    </row>
    <row r="842" ht="15.75" customHeight="1"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T842" s="112"/>
      <c r="AW842" s="112"/>
      <c r="AX842" s="112"/>
      <c r="BA842" s="112"/>
      <c r="BF842" s="112"/>
      <c r="BG842" s="112"/>
      <c r="BH842" s="112"/>
      <c r="BI842" s="112"/>
    </row>
    <row r="843" ht="15.75" customHeight="1"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T843" s="112"/>
      <c r="AW843" s="112"/>
      <c r="AX843" s="112"/>
      <c r="BA843" s="112"/>
      <c r="BF843" s="112"/>
      <c r="BG843" s="112"/>
      <c r="BH843" s="112"/>
      <c r="BI843" s="112"/>
    </row>
    <row r="844" ht="15.75" customHeight="1"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T844" s="112"/>
      <c r="AW844" s="112"/>
      <c r="AX844" s="112"/>
      <c r="BA844" s="112"/>
      <c r="BF844" s="112"/>
      <c r="BG844" s="112"/>
      <c r="BH844" s="112"/>
      <c r="BI844" s="112"/>
    </row>
    <row r="845" ht="15.75" customHeight="1"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T845" s="112"/>
      <c r="AW845" s="112"/>
      <c r="AX845" s="112"/>
      <c r="BA845" s="112"/>
      <c r="BF845" s="112"/>
      <c r="BG845" s="112"/>
      <c r="BH845" s="112"/>
      <c r="BI845" s="112"/>
    </row>
    <row r="846" ht="15.75" customHeight="1"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T846" s="112"/>
      <c r="AW846" s="112"/>
      <c r="AX846" s="112"/>
      <c r="BA846" s="112"/>
      <c r="BF846" s="112"/>
      <c r="BG846" s="112"/>
      <c r="BH846" s="112"/>
      <c r="BI846" s="112"/>
    </row>
    <row r="847" ht="15.75" customHeight="1"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T847" s="112"/>
      <c r="AW847" s="112"/>
      <c r="AX847" s="112"/>
      <c r="BA847" s="112"/>
      <c r="BF847" s="112"/>
      <c r="BG847" s="112"/>
      <c r="BH847" s="112"/>
      <c r="BI847" s="112"/>
    </row>
    <row r="848" ht="15.75" customHeight="1"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T848" s="112"/>
      <c r="AW848" s="112"/>
      <c r="AX848" s="112"/>
      <c r="BA848" s="112"/>
      <c r="BF848" s="112"/>
      <c r="BG848" s="112"/>
      <c r="BH848" s="112"/>
      <c r="BI848" s="112"/>
    </row>
    <row r="849" ht="15.75" customHeight="1"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T849" s="112"/>
      <c r="AW849" s="112"/>
      <c r="AX849" s="112"/>
      <c r="BA849" s="112"/>
      <c r="BF849" s="112"/>
      <c r="BG849" s="112"/>
      <c r="BH849" s="112"/>
      <c r="BI849" s="112"/>
    </row>
    <row r="850" ht="15.75" customHeight="1"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T850" s="112"/>
      <c r="AW850" s="112"/>
      <c r="AX850" s="112"/>
      <c r="BA850" s="112"/>
      <c r="BF850" s="112"/>
      <c r="BG850" s="112"/>
      <c r="BH850" s="112"/>
      <c r="BI850" s="112"/>
    </row>
    <row r="851" ht="15.75" customHeight="1"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T851" s="112"/>
      <c r="AW851" s="112"/>
      <c r="AX851" s="112"/>
      <c r="BA851" s="112"/>
      <c r="BF851" s="112"/>
      <c r="BG851" s="112"/>
      <c r="BH851" s="112"/>
      <c r="BI851" s="112"/>
    </row>
    <row r="852" ht="15.75" customHeight="1"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T852" s="112"/>
      <c r="AW852" s="112"/>
      <c r="AX852" s="112"/>
      <c r="BA852" s="112"/>
      <c r="BF852" s="112"/>
      <c r="BG852" s="112"/>
      <c r="BH852" s="112"/>
      <c r="BI852" s="112"/>
    </row>
    <row r="853" ht="15.75" customHeight="1"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W853" s="112"/>
      <c r="AX853" s="112"/>
      <c r="BA853" s="112"/>
      <c r="BF853" s="112"/>
      <c r="BG853" s="112"/>
      <c r="BH853" s="112"/>
      <c r="BI853" s="112"/>
    </row>
    <row r="854" ht="15.75" customHeight="1"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T854" s="112"/>
      <c r="AW854" s="112"/>
      <c r="AX854" s="112"/>
      <c r="BA854" s="112"/>
      <c r="BF854" s="112"/>
      <c r="BG854" s="112"/>
      <c r="BH854" s="112"/>
      <c r="BI854" s="112"/>
    </row>
    <row r="855" ht="15.75" customHeight="1"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T855" s="112"/>
      <c r="AW855" s="112"/>
      <c r="AX855" s="112"/>
      <c r="BA855" s="112"/>
      <c r="BF855" s="112"/>
      <c r="BG855" s="112"/>
      <c r="BH855" s="112"/>
      <c r="BI855" s="112"/>
    </row>
    <row r="856" ht="15.75" customHeight="1"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T856" s="112"/>
      <c r="AW856" s="112"/>
      <c r="AX856" s="112"/>
      <c r="BA856" s="112"/>
      <c r="BF856" s="112"/>
      <c r="BG856" s="112"/>
      <c r="BH856" s="112"/>
      <c r="BI856" s="112"/>
    </row>
    <row r="857" ht="15.75" customHeight="1"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T857" s="112"/>
      <c r="AW857" s="112"/>
      <c r="AX857" s="112"/>
      <c r="BA857" s="112"/>
      <c r="BF857" s="112"/>
      <c r="BG857" s="112"/>
      <c r="BH857" s="112"/>
      <c r="BI857" s="112"/>
    </row>
    <row r="858" ht="15.75" customHeight="1"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T858" s="112"/>
      <c r="AW858" s="112"/>
      <c r="AX858" s="112"/>
      <c r="BA858" s="112"/>
      <c r="BF858" s="112"/>
      <c r="BG858" s="112"/>
      <c r="BH858" s="112"/>
      <c r="BI858" s="112"/>
    </row>
    <row r="859" ht="15.75" customHeight="1"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T859" s="112"/>
      <c r="AW859" s="112"/>
      <c r="AX859" s="112"/>
      <c r="BA859" s="112"/>
      <c r="BF859" s="112"/>
      <c r="BG859" s="112"/>
      <c r="BH859" s="112"/>
      <c r="BI859" s="112"/>
    </row>
    <row r="860" ht="15.75" customHeight="1"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T860" s="112"/>
      <c r="AW860" s="112"/>
      <c r="AX860" s="112"/>
      <c r="BA860" s="112"/>
      <c r="BF860" s="112"/>
      <c r="BG860" s="112"/>
      <c r="BH860" s="112"/>
      <c r="BI860" s="112"/>
    </row>
    <row r="861" ht="15.75" customHeight="1"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T861" s="112"/>
      <c r="AW861" s="112"/>
      <c r="AX861" s="112"/>
      <c r="BA861" s="112"/>
      <c r="BF861" s="112"/>
      <c r="BG861" s="112"/>
      <c r="BH861" s="112"/>
      <c r="BI861" s="112"/>
    </row>
    <row r="862" ht="15.75" customHeight="1"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T862" s="112"/>
      <c r="AW862" s="112"/>
      <c r="AX862" s="112"/>
      <c r="BA862" s="112"/>
      <c r="BF862" s="112"/>
      <c r="BG862" s="112"/>
      <c r="BH862" s="112"/>
      <c r="BI862" s="112"/>
    </row>
    <row r="863" ht="15.75" customHeight="1"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T863" s="112"/>
      <c r="AW863" s="112"/>
      <c r="AX863" s="112"/>
      <c r="BA863" s="112"/>
      <c r="BF863" s="112"/>
      <c r="BG863" s="112"/>
      <c r="BH863" s="112"/>
      <c r="BI863" s="112"/>
    </row>
    <row r="864" ht="15.75" customHeight="1"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112"/>
      <c r="AW864" s="112"/>
      <c r="AX864" s="112"/>
      <c r="BA864" s="112"/>
      <c r="BF864" s="112"/>
      <c r="BG864" s="112"/>
      <c r="BH864" s="112"/>
      <c r="BI864" s="112"/>
    </row>
    <row r="865" ht="15.75" customHeight="1"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T865" s="112"/>
      <c r="AW865" s="112"/>
      <c r="AX865" s="112"/>
      <c r="BA865" s="112"/>
      <c r="BF865" s="112"/>
      <c r="BG865" s="112"/>
      <c r="BH865" s="112"/>
      <c r="BI865" s="112"/>
    </row>
    <row r="866" ht="15.75" customHeight="1"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T866" s="112"/>
      <c r="AW866" s="112"/>
      <c r="AX866" s="112"/>
      <c r="BA866" s="112"/>
      <c r="BF866" s="112"/>
      <c r="BG866" s="112"/>
      <c r="BH866" s="112"/>
      <c r="BI866" s="112"/>
    </row>
    <row r="867" ht="15.75" customHeight="1"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T867" s="112"/>
      <c r="AW867" s="112"/>
      <c r="AX867" s="112"/>
      <c r="BA867" s="112"/>
      <c r="BF867" s="112"/>
      <c r="BG867" s="112"/>
      <c r="BH867" s="112"/>
      <c r="BI867" s="112"/>
    </row>
    <row r="868" ht="15.75" customHeight="1"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T868" s="112"/>
      <c r="AW868" s="112"/>
      <c r="AX868" s="112"/>
      <c r="BA868" s="112"/>
      <c r="BF868" s="112"/>
      <c r="BG868" s="112"/>
      <c r="BH868" s="112"/>
      <c r="BI868" s="112"/>
    </row>
    <row r="869" ht="15.75" customHeight="1"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T869" s="112"/>
      <c r="AW869" s="112"/>
      <c r="AX869" s="112"/>
      <c r="BA869" s="112"/>
      <c r="BF869" s="112"/>
      <c r="BG869" s="112"/>
      <c r="BH869" s="112"/>
      <c r="BI869" s="112"/>
    </row>
    <row r="870" ht="15.75" customHeight="1"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T870" s="112"/>
      <c r="AW870" s="112"/>
      <c r="AX870" s="112"/>
      <c r="BA870" s="112"/>
      <c r="BF870" s="112"/>
      <c r="BG870" s="112"/>
      <c r="BH870" s="112"/>
      <c r="BI870" s="112"/>
    </row>
    <row r="871" ht="15.75" customHeight="1"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T871" s="112"/>
      <c r="AW871" s="112"/>
      <c r="AX871" s="112"/>
      <c r="BA871" s="112"/>
      <c r="BF871" s="112"/>
      <c r="BG871" s="112"/>
      <c r="BH871" s="112"/>
      <c r="BI871" s="112"/>
    </row>
    <row r="872" ht="15.75" customHeight="1"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T872" s="112"/>
      <c r="AW872" s="112"/>
      <c r="AX872" s="112"/>
      <c r="BA872" s="112"/>
      <c r="BF872" s="112"/>
      <c r="BG872" s="112"/>
      <c r="BH872" s="112"/>
      <c r="BI872" s="112"/>
    </row>
    <row r="873" ht="15.75" customHeight="1"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T873" s="112"/>
      <c r="AW873" s="112"/>
      <c r="AX873" s="112"/>
      <c r="BA873" s="112"/>
      <c r="BF873" s="112"/>
      <c r="BG873" s="112"/>
      <c r="BH873" s="112"/>
      <c r="BI873" s="112"/>
    </row>
    <row r="874" ht="15.75" customHeight="1"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T874" s="112"/>
      <c r="AW874" s="112"/>
      <c r="AX874" s="112"/>
      <c r="BA874" s="112"/>
      <c r="BF874" s="112"/>
      <c r="BG874" s="112"/>
      <c r="BH874" s="112"/>
      <c r="BI874" s="112"/>
    </row>
    <row r="875" ht="15.75" customHeight="1"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T875" s="112"/>
      <c r="AW875" s="112"/>
      <c r="AX875" s="112"/>
      <c r="BA875" s="112"/>
      <c r="BF875" s="112"/>
      <c r="BG875" s="112"/>
      <c r="BH875" s="112"/>
      <c r="BI875" s="112"/>
    </row>
    <row r="876" ht="15.75" customHeight="1"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T876" s="112"/>
      <c r="AW876" s="112"/>
      <c r="AX876" s="112"/>
      <c r="BA876" s="112"/>
      <c r="BF876" s="112"/>
      <c r="BG876" s="112"/>
      <c r="BH876" s="112"/>
      <c r="BI876" s="112"/>
    </row>
    <row r="877" ht="15.75" customHeight="1"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T877" s="112"/>
      <c r="AW877" s="112"/>
      <c r="AX877" s="112"/>
      <c r="BA877" s="112"/>
      <c r="BF877" s="112"/>
      <c r="BG877" s="112"/>
      <c r="BH877" s="112"/>
      <c r="BI877" s="112"/>
    </row>
    <row r="878" ht="15.75" customHeight="1"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T878" s="112"/>
      <c r="AW878" s="112"/>
      <c r="AX878" s="112"/>
      <c r="BA878" s="112"/>
      <c r="BF878" s="112"/>
      <c r="BG878" s="112"/>
      <c r="BH878" s="112"/>
      <c r="BI878" s="112"/>
    </row>
    <row r="879" ht="15.75" customHeight="1"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T879" s="112"/>
      <c r="AW879" s="112"/>
      <c r="AX879" s="112"/>
      <c r="BA879" s="112"/>
      <c r="BF879" s="112"/>
      <c r="BG879" s="112"/>
      <c r="BH879" s="112"/>
      <c r="BI879" s="112"/>
    </row>
    <row r="880" ht="15.75" customHeight="1"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T880" s="112"/>
      <c r="AW880" s="112"/>
      <c r="AX880" s="112"/>
      <c r="BA880" s="112"/>
      <c r="BF880" s="112"/>
      <c r="BG880" s="112"/>
      <c r="BH880" s="112"/>
      <c r="BI880" s="112"/>
    </row>
    <row r="881" ht="15.75" customHeight="1"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T881" s="112"/>
      <c r="AW881" s="112"/>
      <c r="AX881" s="112"/>
      <c r="BA881" s="112"/>
      <c r="BF881" s="112"/>
      <c r="BG881" s="112"/>
      <c r="BH881" s="112"/>
      <c r="BI881" s="112"/>
    </row>
    <row r="882" ht="15.75" customHeight="1"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T882" s="112"/>
      <c r="AW882" s="112"/>
      <c r="AX882" s="112"/>
      <c r="BA882" s="112"/>
      <c r="BF882" s="112"/>
      <c r="BG882" s="112"/>
      <c r="BH882" s="112"/>
      <c r="BI882" s="112"/>
    </row>
    <row r="883" ht="15.75" customHeight="1"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T883" s="112"/>
      <c r="AW883" s="112"/>
      <c r="AX883" s="112"/>
      <c r="BA883" s="112"/>
      <c r="BF883" s="112"/>
      <c r="BG883" s="112"/>
      <c r="BH883" s="112"/>
      <c r="BI883" s="112"/>
    </row>
    <row r="884" ht="15.75" customHeight="1"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T884" s="112"/>
      <c r="AW884" s="112"/>
      <c r="AX884" s="112"/>
      <c r="BA884" s="112"/>
      <c r="BF884" s="112"/>
      <c r="BG884" s="112"/>
      <c r="BH884" s="112"/>
      <c r="BI884" s="112"/>
    </row>
    <row r="885" ht="15.75" customHeight="1"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T885" s="112"/>
      <c r="AW885" s="112"/>
      <c r="AX885" s="112"/>
      <c r="BA885" s="112"/>
      <c r="BF885" s="112"/>
      <c r="BG885" s="112"/>
      <c r="BH885" s="112"/>
      <c r="BI885" s="112"/>
    </row>
    <row r="886" ht="15.75" customHeight="1"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T886" s="112"/>
      <c r="AW886" s="112"/>
      <c r="AX886" s="112"/>
      <c r="BA886" s="112"/>
      <c r="BF886" s="112"/>
      <c r="BG886" s="112"/>
      <c r="BH886" s="112"/>
      <c r="BI886" s="112"/>
    </row>
    <row r="887" ht="15.75" customHeight="1"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T887" s="112"/>
      <c r="AW887" s="112"/>
      <c r="AX887" s="112"/>
      <c r="BA887" s="112"/>
      <c r="BF887" s="112"/>
      <c r="BG887" s="112"/>
      <c r="BH887" s="112"/>
      <c r="BI887" s="112"/>
    </row>
    <row r="888" ht="15.75" customHeight="1"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T888" s="112"/>
      <c r="AW888" s="112"/>
      <c r="AX888" s="112"/>
      <c r="BA888" s="112"/>
      <c r="BF888" s="112"/>
      <c r="BG888" s="112"/>
      <c r="BH888" s="112"/>
      <c r="BI888" s="112"/>
    </row>
    <row r="889" ht="15.75" customHeight="1"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W889" s="112"/>
      <c r="AX889" s="112"/>
      <c r="BA889" s="112"/>
      <c r="BF889" s="112"/>
      <c r="BG889" s="112"/>
      <c r="BH889" s="112"/>
      <c r="BI889" s="112"/>
    </row>
    <row r="890" ht="15.75" customHeight="1"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W890" s="112"/>
      <c r="AX890" s="112"/>
      <c r="BA890" s="112"/>
      <c r="BF890" s="112"/>
      <c r="BG890" s="112"/>
      <c r="BH890" s="112"/>
      <c r="BI890" s="112"/>
    </row>
    <row r="891" ht="15.75" customHeight="1"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W891" s="112"/>
      <c r="AX891" s="112"/>
      <c r="BA891" s="112"/>
      <c r="BF891" s="112"/>
      <c r="BG891" s="112"/>
      <c r="BH891" s="112"/>
      <c r="BI891" s="112"/>
    </row>
    <row r="892" ht="15.75" customHeight="1"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T892" s="112"/>
      <c r="AW892" s="112"/>
      <c r="AX892" s="112"/>
      <c r="BA892" s="112"/>
      <c r="BF892" s="112"/>
      <c r="BG892" s="112"/>
      <c r="BH892" s="112"/>
      <c r="BI892" s="112"/>
    </row>
    <row r="893" ht="15.75" customHeight="1"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T893" s="112"/>
      <c r="AW893" s="112"/>
      <c r="AX893" s="112"/>
      <c r="BA893" s="112"/>
      <c r="BF893" s="112"/>
      <c r="BG893" s="112"/>
      <c r="BH893" s="112"/>
      <c r="BI893" s="112"/>
    </row>
    <row r="894" ht="15.75" customHeight="1"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T894" s="112"/>
      <c r="AW894" s="112"/>
      <c r="AX894" s="112"/>
      <c r="BA894" s="112"/>
      <c r="BF894" s="112"/>
      <c r="BG894" s="112"/>
      <c r="BH894" s="112"/>
      <c r="BI894" s="112"/>
    </row>
    <row r="895" ht="15.75" customHeight="1"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T895" s="112"/>
      <c r="AW895" s="112"/>
      <c r="AX895" s="112"/>
      <c r="BA895" s="112"/>
      <c r="BF895" s="112"/>
      <c r="BG895" s="112"/>
      <c r="BH895" s="112"/>
      <c r="BI895" s="112"/>
    </row>
    <row r="896" ht="15.75" customHeight="1"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T896" s="112"/>
      <c r="AW896" s="112"/>
      <c r="AX896" s="112"/>
      <c r="BA896" s="112"/>
      <c r="BF896" s="112"/>
      <c r="BG896" s="112"/>
      <c r="BH896" s="112"/>
      <c r="BI896" s="112"/>
    </row>
    <row r="897" ht="15.75" customHeight="1"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T897" s="112"/>
      <c r="AW897" s="112"/>
      <c r="AX897" s="112"/>
      <c r="BA897" s="112"/>
      <c r="BF897" s="112"/>
      <c r="BG897" s="112"/>
      <c r="BH897" s="112"/>
      <c r="BI897" s="112"/>
    </row>
    <row r="898" ht="15.75" customHeight="1"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T898" s="112"/>
      <c r="AW898" s="112"/>
      <c r="AX898" s="112"/>
      <c r="BA898" s="112"/>
      <c r="BF898" s="112"/>
      <c r="BG898" s="112"/>
      <c r="BH898" s="112"/>
      <c r="BI898" s="112"/>
    </row>
    <row r="899" ht="15.75" customHeight="1"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T899" s="112"/>
      <c r="AW899" s="112"/>
      <c r="AX899" s="112"/>
      <c r="BA899" s="112"/>
      <c r="BF899" s="112"/>
      <c r="BG899" s="112"/>
      <c r="BH899" s="112"/>
      <c r="BI899" s="112"/>
    </row>
    <row r="900" ht="15.75" customHeight="1"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T900" s="112"/>
      <c r="AW900" s="112"/>
      <c r="AX900" s="112"/>
      <c r="BA900" s="112"/>
      <c r="BF900" s="112"/>
      <c r="BG900" s="112"/>
      <c r="BH900" s="112"/>
      <c r="BI900" s="112"/>
    </row>
    <row r="901" ht="15.75" customHeight="1"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T901" s="112"/>
      <c r="AW901" s="112"/>
      <c r="AX901" s="112"/>
      <c r="BA901" s="112"/>
      <c r="BF901" s="112"/>
      <c r="BG901" s="112"/>
      <c r="BH901" s="112"/>
      <c r="BI901" s="112"/>
    </row>
    <row r="902" ht="15.75" customHeight="1"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T902" s="112"/>
      <c r="AW902" s="112"/>
      <c r="AX902" s="112"/>
      <c r="BA902" s="112"/>
      <c r="BF902" s="112"/>
      <c r="BG902" s="112"/>
      <c r="BH902" s="112"/>
      <c r="BI902" s="112"/>
    </row>
    <row r="903" ht="15.75" customHeight="1"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T903" s="112"/>
      <c r="AW903" s="112"/>
      <c r="AX903" s="112"/>
      <c r="BA903" s="112"/>
      <c r="BF903" s="112"/>
      <c r="BG903" s="112"/>
      <c r="BH903" s="112"/>
      <c r="BI903" s="112"/>
    </row>
    <row r="904" ht="15.75" customHeight="1"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T904" s="112"/>
      <c r="AW904" s="112"/>
      <c r="AX904" s="112"/>
      <c r="BA904" s="112"/>
      <c r="BF904" s="112"/>
      <c r="BG904" s="112"/>
      <c r="BH904" s="112"/>
      <c r="BI904" s="112"/>
    </row>
    <row r="905" ht="15.75" customHeight="1"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T905" s="112"/>
      <c r="AW905" s="112"/>
      <c r="AX905" s="112"/>
      <c r="BA905" s="112"/>
      <c r="BF905" s="112"/>
      <c r="BG905" s="112"/>
      <c r="BH905" s="112"/>
      <c r="BI905" s="112"/>
    </row>
    <row r="906" ht="15.75" customHeight="1"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T906" s="112"/>
      <c r="AW906" s="112"/>
      <c r="AX906" s="112"/>
      <c r="BA906" s="112"/>
      <c r="BF906" s="112"/>
      <c r="BG906" s="112"/>
      <c r="BH906" s="112"/>
      <c r="BI906" s="112"/>
    </row>
    <row r="907" ht="15.75" customHeight="1"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T907" s="112"/>
      <c r="AW907" s="112"/>
      <c r="AX907" s="112"/>
      <c r="BA907" s="112"/>
      <c r="BF907" s="112"/>
      <c r="BG907" s="112"/>
      <c r="BH907" s="112"/>
      <c r="BI907" s="112"/>
    </row>
    <row r="908" ht="15.75" customHeight="1"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T908" s="112"/>
      <c r="AW908" s="112"/>
      <c r="AX908" s="112"/>
      <c r="BA908" s="112"/>
      <c r="BF908" s="112"/>
      <c r="BG908" s="112"/>
      <c r="BH908" s="112"/>
      <c r="BI908" s="112"/>
    </row>
    <row r="909" ht="15.75" customHeight="1"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T909" s="112"/>
      <c r="AW909" s="112"/>
      <c r="AX909" s="112"/>
      <c r="BA909" s="112"/>
      <c r="BF909" s="112"/>
      <c r="BG909" s="112"/>
      <c r="BH909" s="112"/>
      <c r="BI909" s="112"/>
    </row>
    <row r="910" ht="15.75" customHeight="1"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T910" s="112"/>
      <c r="AW910" s="112"/>
      <c r="AX910" s="112"/>
      <c r="BA910" s="112"/>
      <c r="BF910" s="112"/>
      <c r="BG910" s="112"/>
      <c r="BH910" s="112"/>
      <c r="BI910" s="112"/>
    </row>
    <row r="911" ht="15.75" customHeight="1"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T911" s="112"/>
      <c r="AW911" s="112"/>
      <c r="AX911" s="112"/>
      <c r="BA911" s="112"/>
      <c r="BF911" s="112"/>
      <c r="BG911" s="112"/>
      <c r="BH911" s="112"/>
      <c r="BI911" s="112"/>
    </row>
    <row r="912" ht="15.75" customHeight="1"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T912" s="112"/>
      <c r="AW912" s="112"/>
      <c r="AX912" s="112"/>
      <c r="BA912" s="112"/>
      <c r="BF912" s="112"/>
      <c r="BG912" s="112"/>
      <c r="BH912" s="112"/>
      <c r="BI912" s="112"/>
    </row>
    <row r="913" ht="15.75" customHeight="1"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T913" s="112"/>
      <c r="AW913" s="112"/>
      <c r="AX913" s="112"/>
      <c r="BA913" s="112"/>
      <c r="BF913" s="112"/>
      <c r="BG913" s="112"/>
      <c r="BH913" s="112"/>
      <c r="BI913" s="112"/>
    </row>
    <row r="914" ht="15.75" customHeight="1"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T914" s="112"/>
      <c r="AW914" s="112"/>
      <c r="AX914" s="112"/>
      <c r="BA914" s="112"/>
      <c r="BF914" s="112"/>
      <c r="BG914" s="112"/>
      <c r="BH914" s="112"/>
      <c r="BI914" s="112"/>
    </row>
    <row r="915" ht="15.75" customHeight="1"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T915" s="112"/>
      <c r="AW915" s="112"/>
      <c r="AX915" s="112"/>
      <c r="BA915" s="112"/>
      <c r="BF915" s="112"/>
      <c r="BG915" s="112"/>
      <c r="BH915" s="112"/>
      <c r="BI915" s="112"/>
    </row>
    <row r="916" ht="15.75" customHeight="1"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T916" s="112"/>
      <c r="AW916" s="112"/>
      <c r="AX916" s="112"/>
      <c r="BA916" s="112"/>
      <c r="BF916" s="112"/>
      <c r="BG916" s="112"/>
      <c r="BH916" s="112"/>
      <c r="BI916" s="112"/>
    </row>
    <row r="917" ht="15.75" customHeight="1"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T917" s="112"/>
      <c r="AW917" s="112"/>
      <c r="AX917" s="112"/>
      <c r="BA917" s="112"/>
      <c r="BF917" s="112"/>
      <c r="BG917" s="112"/>
      <c r="BH917" s="112"/>
      <c r="BI917" s="112"/>
    </row>
    <row r="918" ht="15.75" customHeight="1"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T918" s="112"/>
      <c r="AW918" s="112"/>
      <c r="AX918" s="112"/>
      <c r="BA918" s="112"/>
      <c r="BF918" s="112"/>
      <c r="BG918" s="112"/>
      <c r="BH918" s="112"/>
      <c r="BI918" s="112"/>
    </row>
    <row r="919" ht="15.75" customHeight="1"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T919" s="112"/>
      <c r="AW919" s="112"/>
      <c r="AX919" s="112"/>
      <c r="BA919" s="112"/>
      <c r="BF919" s="112"/>
      <c r="BG919" s="112"/>
      <c r="BH919" s="112"/>
      <c r="BI919" s="112"/>
    </row>
    <row r="920" ht="15.75" customHeight="1"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T920" s="112"/>
      <c r="AW920" s="112"/>
      <c r="AX920" s="112"/>
      <c r="BA920" s="112"/>
      <c r="BF920" s="112"/>
      <c r="BG920" s="112"/>
      <c r="BH920" s="112"/>
      <c r="BI920" s="112"/>
    </row>
    <row r="921" ht="15.75" customHeight="1"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T921" s="112"/>
      <c r="AW921" s="112"/>
      <c r="AX921" s="112"/>
      <c r="BA921" s="112"/>
      <c r="BF921" s="112"/>
      <c r="BG921" s="112"/>
      <c r="BH921" s="112"/>
      <c r="BI921" s="112"/>
    </row>
    <row r="922" ht="15.75" customHeight="1"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T922" s="112"/>
      <c r="AW922" s="112"/>
      <c r="AX922" s="112"/>
      <c r="BA922" s="112"/>
      <c r="BF922" s="112"/>
      <c r="BG922" s="112"/>
      <c r="BH922" s="112"/>
      <c r="BI922" s="112"/>
    </row>
    <row r="923" ht="15.75" customHeight="1"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T923" s="112"/>
      <c r="AW923" s="112"/>
      <c r="AX923" s="112"/>
      <c r="BA923" s="112"/>
      <c r="BF923" s="112"/>
      <c r="BG923" s="112"/>
      <c r="BH923" s="112"/>
      <c r="BI923" s="112"/>
    </row>
    <row r="924" ht="15.75" customHeight="1"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T924" s="112"/>
      <c r="AW924" s="112"/>
      <c r="AX924" s="112"/>
      <c r="BA924" s="112"/>
      <c r="BF924" s="112"/>
      <c r="BG924" s="112"/>
      <c r="BH924" s="112"/>
      <c r="BI924" s="112"/>
    </row>
    <row r="925" ht="15.75" customHeight="1"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T925" s="112"/>
      <c r="AW925" s="112"/>
      <c r="AX925" s="112"/>
      <c r="BA925" s="112"/>
      <c r="BF925" s="112"/>
      <c r="BG925" s="112"/>
      <c r="BH925" s="112"/>
      <c r="BI925" s="112"/>
    </row>
    <row r="926" ht="15.75" customHeight="1"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T926" s="112"/>
      <c r="AW926" s="112"/>
      <c r="AX926" s="112"/>
      <c r="BA926" s="112"/>
      <c r="BF926" s="112"/>
      <c r="BG926" s="112"/>
      <c r="BH926" s="112"/>
      <c r="BI926" s="112"/>
    </row>
    <row r="927" ht="15.75" customHeight="1"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T927" s="112"/>
      <c r="AW927" s="112"/>
      <c r="AX927" s="112"/>
      <c r="BA927" s="112"/>
      <c r="BF927" s="112"/>
      <c r="BG927" s="112"/>
      <c r="BH927" s="112"/>
      <c r="BI927" s="112"/>
    </row>
    <row r="928" ht="15.75" customHeight="1"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T928" s="112"/>
      <c r="AW928" s="112"/>
      <c r="AX928" s="112"/>
      <c r="BA928" s="112"/>
      <c r="BF928" s="112"/>
      <c r="BG928" s="112"/>
      <c r="BH928" s="112"/>
      <c r="BI928" s="112"/>
    </row>
    <row r="929" ht="15.75" customHeight="1"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W929" s="112"/>
      <c r="AX929" s="112"/>
      <c r="BA929" s="112"/>
      <c r="BF929" s="112"/>
      <c r="BG929" s="112"/>
      <c r="BH929" s="112"/>
      <c r="BI929" s="112"/>
    </row>
    <row r="930" ht="15.75" customHeight="1"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T930" s="112"/>
      <c r="AW930" s="112"/>
      <c r="AX930" s="112"/>
      <c r="BA930" s="112"/>
      <c r="BF930" s="112"/>
      <c r="BG930" s="112"/>
      <c r="BH930" s="112"/>
      <c r="BI930" s="112"/>
    </row>
    <row r="931" ht="15.75" customHeight="1"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T931" s="112"/>
      <c r="AW931" s="112"/>
      <c r="AX931" s="112"/>
      <c r="BA931" s="112"/>
      <c r="BF931" s="112"/>
      <c r="BG931" s="112"/>
      <c r="BH931" s="112"/>
      <c r="BI931" s="112"/>
    </row>
    <row r="932" ht="15.75" customHeight="1"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T932" s="112"/>
      <c r="AW932" s="112"/>
      <c r="AX932" s="112"/>
      <c r="BA932" s="112"/>
      <c r="BF932" s="112"/>
      <c r="BG932" s="112"/>
      <c r="BH932" s="112"/>
      <c r="BI932" s="112"/>
    </row>
    <row r="933" ht="15.75" customHeight="1"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T933" s="112"/>
      <c r="AW933" s="112"/>
      <c r="AX933" s="112"/>
      <c r="BA933" s="112"/>
      <c r="BF933" s="112"/>
      <c r="BG933" s="112"/>
      <c r="BH933" s="112"/>
      <c r="BI933" s="112"/>
    </row>
    <row r="934" ht="15.75" customHeight="1"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T934" s="112"/>
      <c r="AW934" s="112"/>
      <c r="AX934" s="112"/>
      <c r="BA934" s="112"/>
      <c r="BF934" s="112"/>
      <c r="BG934" s="112"/>
      <c r="BH934" s="112"/>
      <c r="BI934" s="112"/>
    </row>
    <row r="935" ht="15.75" customHeight="1"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T935" s="112"/>
      <c r="AW935" s="112"/>
      <c r="AX935" s="112"/>
      <c r="BA935" s="112"/>
      <c r="BF935" s="112"/>
      <c r="BG935" s="112"/>
      <c r="BH935" s="112"/>
      <c r="BI935" s="112"/>
    </row>
    <row r="936" ht="15.75" customHeight="1"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T936" s="112"/>
      <c r="AW936" s="112"/>
      <c r="AX936" s="112"/>
      <c r="BA936" s="112"/>
      <c r="BF936" s="112"/>
      <c r="BG936" s="112"/>
      <c r="BH936" s="112"/>
      <c r="BI936" s="112"/>
    </row>
    <row r="937" ht="15.75" customHeight="1"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T937" s="112"/>
      <c r="AW937" s="112"/>
      <c r="AX937" s="112"/>
      <c r="BA937" s="112"/>
      <c r="BF937" s="112"/>
      <c r="BG937" s="112"/>
      <c r="BH937" s="112"/>
      <c r="BI937" s="112"/>
    </row>
    <row r="938" ht="15.75" customHeight="1"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T938" s="112"/>
      <c r="AW938" s="112"/>
      <c r="AX938" s="112"/>
      <c r="BA938" s="112"/>
      <c r="BF938" s="112"/>
      <c r="BG938" s="112"/>
      <c r="BH938" s="112"/>
      <c r="BI938" s="112"/>
    </row>
    <row r="939" ht="15.75" customHeight="1"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T939" s="112"/>
      <c r="AW939" s="112"/>
      <c r="AX939" s="112"/>
      <c r="BA939" s="112"/>
      <c r="BF939" s="112"/>
      <c r="BG939" s="112"/>
      <c r="BH939" s="112"/>
      <c r="BI939" s="112"/>
    </row>
    <row r="940" ht="15.75" customHeight="1"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T940" s="112"/>
      <c r="AW940" s="112"/>
      <c r="AX940" s="112"/>
      <c r="BA940" s="112"/>
      <c r="BF940" s="112"/>
      <c r="BG940" s="112"/>
      <c r="BH940" s="112"/>
      <c r="BI940" s="112"/>
    </row>
    <row r="941" ht="15.75" customHeight="1"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T941" s="112"/>
      <c r="AW941" s="112"/>
      <c r="AX941" s="112"/>
      <c r="BA941" s="112"/>
      <c r="BF941" s="112"/>
      <c r="BG941" s="112"/>
      <c r="BH941" s="112"/>
      <c r="BI941" s="112"/>
    </row>
    <row r="942" ht="15.75" customHeight="1"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T942" s="112"/>
      <c r="AW942" s="112"/>
      <c r="AX942" s="112"/>
      <c r="BA942" s="112"/>
      <c r="BF942" s="112"/>
      <c r="BG942" s="112"/>
      <c r="BH942" s="112"/>
      <c r="BI942" s="112"/>
    </row>
    <row r="943" ht="15.75" customHeight="1"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T943" s="112"/>
      <c r="AW943" s="112"/>
      <c r="AX943" s="112"/>
      <c r="BA943" s="112"/>
      <c r="BF943" s="112"/>
      <c r="BG943" s="112"/>
      <c r="BH943" s="112"/>
      <c r="BI943" s="112"/>
    </row>
    <row r="944" ht="15.75" customHeight="1"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T944" s="112"/>
      <c r="AW944" s="112"/>
      <c r="AX944" s="112"/>
      <c r="BA944" s="112"/>
      <c r="BF944" s="112"/>
      <c r="BG944" s="112"/>
      <c r="BH944" s="112"/>
      <c r="BI944" s="112"/>
    </row>
    <row r="945" ht="15.75" customHeight="1"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T945" s="112"/>
      <c r="AW945" s="112"/>
      <c r="AX945" s="112"/>
      <c r="BA945" s="112"/>
      <c r="BF945" s="112"/>
      <c r="BG945" s="112"/>
      <c r="BH945" s="112"/>
      <c r="BI945" s="112"/>
    </row>
    <row r="946" ht="15.75" customHeight="1"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T946" s="112"/>
      <c r="AW946" s="112"/>
      <c r="AX946" s="112"/>
      <c r="BA946" s="112"/>
      <c r="BF946" s="112"/>
      <c r="BG946" s="112"/>
      <c r="BH946" s="112"/>
      <c r="BI946" s="112"/>
    </row>
    <row r="947" ht="15.75" customHeight="1"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T947" s="112"/>
      <c r="AW947" s="112"/>
      <c r="AX947" s="112"/>
      <c r="BA947" s="112"/>
      <c r="BF947" s="112"/>
      <c r="BG947" s="112"/>
      <c r="BH947" s="112"/>
      <c r="BI947" s="112"/>
    </row>
    <row r="948" ht="15.75" customHeight="1"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T948" s="112"/>
      <c r="AW948" s="112"/>
      <c r="AX948" s="112"/>
      <c r="BA948" s="112"/>
      <c r="BF948" s="112"/>
      <c r="BG948" s="112"/>
      <c r="BH948" s="112"/>
      <c r="BI948" s="112"/>
    </row>
    <row r="949" ht="15.75" customHeight="1"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W949" s="112"/>
      <c r="AX949" s="112"/>
      <c r="BA949" s="112"/>
      <c r="BF949" s="112"/>
      <c r="BG949" s="112"/>
      <c r="BH949" s="112"/>
      <c r="BI949" s="112"/>
    </row>
    <row r="950" ht="15.75" customHeight="1"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T950" s="112"/>
      <c r="AW950" s="112"/>
      <c r="AX950" s="112"/>
      <c r="BA950" s="112"/>
      <c r="BF950" s="112"/>
      <c r="BG950" s="112"/>
      <c r="BH950" s="112"/>
      <c r="BI950" s="112"/>
    </row>
    <row r="951" ht="15.75" customHeight="1"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T951" s="112"/>
      <c r="AW951" s="112"/>
      <c r="AX951" s="112"/>
      <c r="BA951" s="112"/>
      <c r="BF951" s="112"/>
      <c r="BG951" s="112"/>
      <c r="BH951" s="112"/>
      <c r="BI951" s="112"/>
    </row>
    <row r="952" ht="15.75" customHeight="1"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T952" s="112"/>
      <c r="AW952" s="112"/>
      <c r="AX952" s="112"/>
      <c r="BA952" s="112"/>
      <c r="BF952" s="112"/>
      <c r="BG952" s="112"/>
      <c r="BH952" s="112"/>
      <c r="BI952" s="112"/>
    </row>
    <row r="953" ht="15.75" customHeight="1"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T953" s="112"/>
      <c r="AW953" s="112"/>
      <c r="AX953" s="112"/>
      <c r="BA953" s="112"/>
      <c r="BF953" s="112"/>
      <c r="BG953" s="112"/>
      <c r="BH953" s="112"/>
      <c r="BI953" s="112"/>
    </row>
    <row r="954" ht="15.75" customHeight="1"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T954" s="112"/>
      <c r="AW954" s="112"/>
      <c r="AX954" s="112"/>
      <c r="BA954" s="112"/>
      <c r="BF954" s="112"/>
      <c r="BG954" s="112"/>
      <c r="BH954" s="112"/>
      <c r="BI954" s="112"/>
    </row>
    <row r="955" ht="15.75" customHeight="1"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T955" s="112"/>
      <c r="AW955" s="112"/>
      <c r="AX955" s="112"/>
      <c r="BA955" s="112"/>
      <c r="BF955" s="112"/>
      <c r="BG955" s="112"/>
      <c r="BH955" s="112"/>
      <c r="BI955" s="112"/>
    </row>
    <row r="956" ht="15.75" customHeight="1"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T956" s="112"/>
      <c r="AW956" s="112"/>
      <c r="AX956" s="112"/>
      <c r="BA956" s="112"/>
      <c r="BF956" s="112"/>
      <c r="BG956" s="112"/>
      <c r="BH956" s="112"/>
      <c r="BI956" s="112"/>
    </row>
    <row r="957" ht="15.75" customHeight="1"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T957" s="112"/>
      <c r="AW957" s="112"/>
      <c r="AX957" s="112"/>
      <c r="BA957" s="112"/>
      <c r="BF957" s="112"/>
      <c r="BG957" s="112"/>
      <c r="BH957" s="112"/>
      <c r="BI957" s="112"/>
    </row>
    <row r="958" ht="15.75" customHeight="1"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T958" s="112"/>
      <c r="AW958" s="112"/>
      <c r="AX958" s="112"/>
      <c r="BA958" s="112"/>
      <c r="BF958" s="112"/>
      <c r="BG958" s="112"/>
      <c r="BH958" s="112"/>
      <c r="BI958" s="112"/>
    </row>
    <row r="959" ht="15.75" customHeight="1"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T959" s="112"/>
      <c r="AW959" s="112"/>
      <c r="AX959" s="112"/>
      <c r="BA959" s="112"/>
      <c r="BF959" s="112"/>
      <c r="BG959" s="112"/>
      <c r="BH959" s="112"/>
      <c r="BI959" s="112"/>
    </row>
    <row r="960" ht="15.75" customHeight="1"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T960" s="112"/>
      <c r="AW960" s="112"/>
      <c r="AX960" s="112"/>
      <c r="BA960" s="112"/>
      <c r="BF960" s="112"/>
      <c r="BG960" s="112"/>
      <c r="BH960" s="112"/>
      <c r="BI960" s="112"/>
    </row>
    <row r="961" ht="15.75" customHeight="1"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T961" s="112"/>
      <c r="AW961" s="112"/>
      <c r="AX961" s="112"/>
      <c r="BA961" s="112"/>
      <c r="BF961" s="112"/>
      <c r="BG961" s="112"/>
      <c r="BH961" s="112"/>
      <c r="BI961" s="112"/>
    </row>
    <row r="962" ht="15.75" customHeight="1"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T962" s="112"/>
      <c r="AW962" s="112"/>
      <c r="AX962" s="112"/>
      <c r="BA962" s="112"/>
      <c r="BF962" s="112"/>
      <c r="BG962" s="112"/>
      <c r="BH962" s="112"/>
      <c r="BI962" s="112"/>
    </row>
    <row r="963" ht="15.75" customHeight="1"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T963" s="112"/>
      <c r="AW963" s="112"/>
      <c r="AX963" s="112"/>
      <c r="BA963" s="112"/>
      <c r="BF963" s="112"/>
      <c r="BG963" s="112"/>
      <c r="BH963" s="112"/>
      <c r="BI963" s="112"/>
    </row>
    <row r="964" ht="15.75" customHeight="1"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T964" s="112"/>
      <c r="AW964" s="112"/>
      <c r="AX964" s="112"/>
      <c r="BA964" s="112"/>
      <c r="BF964" s="112"/>
      <c r="BG964" s="112"/>
      <c r="BH964" s="112"/>
      <c r="BI964" s="112"/>
    </row>
    <row r="965" ht="15.75" customHeight="1"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T965" s="112"/>
      <c r="AW965" s="112"/>
      <c r="AX965" s="112"/>
      <c r="BA965" s="112"/>
      <c r="BF965" s="112"/>
      <c r="BG965" s="112"/>
      <c r="BH965" s="112"/>
      <c r="BI965" s="112"/>
    </row>
    <row r="966" ht="15.75" customHeight="1"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T966" s="112"/>
      <c r="AW966" s="112"/>
      <c r="AX966" s="112"/>
      <c r="BA966" s="112"/>
      <c r="BF966" s="112"/>
      <c r="BG966" s="112"/>
      <c r="BH966" s="112"/>
      <c r="BI966" s="112"/>
    </row>
    <row r="967" ht="15.75" customHeight="1"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T967" s="112"/>
      <c r="AW967" s="112"/>
      <c r="AX967" s="112"/>
      <c r="BA967" s="112"/>
      <c r="BF967" s="112"/>
      <c r="BG967" s="112"/>
      <c r="BH967" s="112"/>
      <c r="BI967" s="112"/>
    </row>
    <row r="968" ht="15.75" customHeight="1"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T968" s="112"/>
      <c r="AW968" s="112"/>
      <c r="AX968" s="112"/>
      <c r="BA968" s="112"/>
      <c r="BF968" s="112"/>
      <c r="BG968" s="112"/>
      <c r="BH968" s="112"/>
      <c r="BI968" s="112"/>
    </row>
    <row r="969" ht="15.75" customHeight="1"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T969" s="112"/>
      <c r="AW969" s="112"/>
      <c r="AX969" s="112"/>
      <c r="BA969" s="112"/>
      <c r="BF969" s="112"/>
      <c r="BG969" s="112"/>
      <c r="BH969" s="112"/>
      <c r="BI969" s="112"/>
    </row>
    <row r="970" ht="15.75" customHeight="1"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T970" s="112"/>
      <c r="AW970" s="112"/>
      <c r="AX970" s="112"/>
      <c r="BA970" s="112"/>
      <c r="BF970" s="112"/>
      <c r="BG970" s="112"/>
      <c r="BH970" s="112"/>
      <c r="BI970" s="112"/>
    </row>
    <row r="971" ht="15.75" customHeight="1"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T971" s="112"/>
      <c r="AW971" s="112"/>
      <c r="AX971" s="112"/>
      <c r="BA971" s="112"/>
      <c r="BF971" s="112"/>
      <c r="BG971" s="112"/>
      <c r="BH971" s="112"/>
      <c r="BI971" s="112"/>
    </row>
    <row r="972" ht="15.75" customHeight="1"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T972" s="112"/>
      <c r="AW972" s="112"/>
      <c r="AX972" s="112"/>
      <c r="BA972" s="112"/>
      <c r="BF972" s="112"/>
      <c r="BG972" s="112"/>
      <c r="BH972" s="112"/>
      <c r="BI972" s="112"/>
    </row>
    <row r="973" ht="15.75" customHeight="1"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T973" s="112"/>
      <c r="AW973" s="112"/>
      <c r="AX973" s="112"/>
      <c r="BA973" s="112"/>
      <c r="BF973" s="112"/>
      <c r="BG973" s="112"/>
      <c r="BH973" s="112"/>
      <c r="BI973" s="112"/>
    </row>
    <row r="974" ht="15.75" customHeight="1"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T974" s="112"/>
      <c r="AW974" s="112"/>
      <c r="AX974" s="112"/>
      <c r="BA974" s="112"/>
      <c r="BF974" s="112"/>
      <c r="BG974" s="112"/>
      <c r="BH974" s="112"/>
      <c r="BI974" s="112"/>
    </row>
    <row r="975" ht="15.75" customHeight="1"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T975" s="112"/>
      <c r="AW975" s="112"/>
      <c r="AX975" s="112"/>
      <c r="BA975" s="112"/>
      <c r="BF975" s="112"/>
      <c r="BG975" s="112"/>
      <c r="BH975" s="112"/>
      <c r="BI975" s="112"/>
    </row>
    <row r="976" ht="15.75" customHeight="1"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T976" s="112"/>
      <c r="AW976" s="112"/>
      <c r="AX976" s="112"/>
      <c r="BA976" s="112"/>
      <c r="BF976" s="112"/>
      <c r="BG976" s="112"/>
      <c r="BH976" s="112"/>
      <c r="BI976" s="112"/>
    </row>
    <row r="977" ht="15.75" customHeight="1"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T977" s="112"/>
      <c r="AW977" s="112"/>
      <c r="AX977" s="112"/>
      <c r="BA977" s="112"/>
      <c r="BF977" s="112"/>
      <c r="BG977" s="112"/>
      <c r="BH977" s="112"/>
      <c r="BI977" s="112"/>
    </row>
    <row r="978" ht="15.75" customHeight="1"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T978" s="112"/>
      <c r="AW978" s="112"/>
      <c r="AX978" s="112"/>
      <c r="BA978" s="112"/>
      <c r="BF978" s="112"/>
      <c r="BG978" s="112"/>
      <c r="BH978" s="112"/>
      <c r="BI978" s="112"/>
    </row>
    <row r="979" ht="15.75" customHeight="1"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T979" s="112"/>
      <c r="AW979" s="112"/>
      <c r="AX979" s="112"/>
      <c r="BA979" s="112"/>
      <c r="BF979" s="112"/>
      <c r="BG979" s="112"/>
      <c r="BH979" s="112"/>
      <c r="BI979" s="112"/>
    </row>
    <row r="980" ht="15.75" customHeight="1"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T980" s="112"/>
      <c r="AW980" s="112"/>
      <c r="AX980" s="112"/>
      <c r="BA980" s="112"/>
      <c r="BF980" s="112"/>
      <c r="BG980" s="112"/>
      <c r="BH980" s="112"/>
      <c r="BI980" s="112"/>
    </row>
    <row r="981" ht="15.75" customHeight="1"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T981" s="112"/>
      <c r="AW981" s="112"/>
      <c r="AX981" s="112"/>
      <c r="BA981" s="112"/>
      <c r="BF981" s="112"/>
      <c r="BG981" s="112"/>
      <c r="BH981" s="112"/>
      <c r="BI981" s="112"/>
    </row>
    <row r="982" ht="15.75" customHeight="1"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T982" s="112"/>
      <c r="AW982" s="112"/>
      <c r="AX982" s="112"/>
      <c r="BA982" s="112"/>
      <c r="BF982" s="112"/>
      <c r="BG982" s="112"/>
      <c r="BH982" s="112"/>
      <c r="BI982" s="112"/>
    </row>
    <row r="983" ht="15.75" customHeight="1"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T983" s="112"/>
      <c r="AW983" s="112"/>
      <c r="AX983" s="112"/>
      <c r="BA983" s="112"/>
      <c r="BF983" s="112"/>
      <c r="BG983" s="112"/>
      <c r="BH983" s="112"/>
      <c r="BI983" s="112"/>
    </row>
    <row r="984" ht="15.75" customHeight="1"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T984" s="112"/>
      <c r="AW984" s="112"/>
      <c r="AX984" s="112"/>
      <c r="BA984" s="112"/>
      <c r="BF984" s="112"/>
      <c r="BG984" s="112"/>
      <c r="BH984" s="112"/>
      <c r="BI984" s="112"/>
    </row>
    <row r="985" ht="15.75" customHeight="1"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T985" s="112"/>
      <c r="AW985" s="112"/>
      <c r="AX985" s="112"/>
      <c r="BA985" s="112"/>
      <c r="BF985" s="112"/>
      <c r="BG985" s="112"/>
      <c r="BH985" s="112"/>
      <c r="BI985" s="112"/>
    </row>
    <row r="986" ht="15.75" customHeight="1"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T986" s="112"/>
      <c r="AW986" s="112"/>
      <c r="AX986" s="112"/>
      <c r="BA986" s="112"/>
      <c r="BF986" s="112"/>
      <c r="BG986" s="112"/>
      <c r="BH986" s="112"/>
      <c r="BI986" s="112"/>
    </row>
    <row r="987" ht="15.75" customHeight="1"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W987" s="112"/>
      <c r="AX987" s="112"/>
      <c r="BA987" s="112"/>
      <c r="BF987" s="112"/>
      <c r="BG987" s="112"/>
      <c r="BH987" s="112"/>
      <c r="BI987" s="112"/>
    </row>
    <row r="988" ht="15.75" customHeight="1"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T988" s="112"/>
      <c r="AW988" s="112"/>
      <c r="AX988" s="112"/>
      <c r="BA988" s="112"/>
      <c r="BF988" s="112"/>
      <c r="BG988" s="112"/>
      <c r="BH988" s="112"/>
      <c r="BI988" s="112"/>
    </row>
    <row r="989" ht="15.75" customHeight="1"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T989" s="112"/>
      <c r="AW989" s="112"/>
      <c r="AX989" s="112"/>
      <c r="BA989" s="112"/>
      <c r="BB989" s="112"/>
      <c r="BC989" s="112"/>
      <c r="BF989" s="112"/>
      <c r="BG989" s="112"/>
      <c r="BH989" s="112"/>
      <c r="BI989" s="112"/>
      <c r="BJ989" s="112"/>
      <c r="BK989" s="112"/>
    </row>
    <row r="990" ht="15.75" customHeight="1"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T990" s="112"/>
      <c r="AW990" s="112"/>
      <c r="AX990" s="112"/>
      <c r="BA990" s="112"/>
      <c r="BB990" s="112"/>
      <c r="BC990" s="112"/>
      <c r="BF990" s="112"/>
      <c r="BG990" s="112"/>
      <c r="BH990" s="112"/>
      <c r="BI990" s="112"/>
      <c r="BJ990" s="112"/>
      <c r="BK990" s="112"/>
    </row>
    <row r="991" ht="15.75" customHeight="1"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T991" s="112"/>
      <c r="AW991" s="112"/>
      <c r="AX991" s="112"/>
      <c r="BA991" s="112"/>
      <c r="BB991" s="112"/>
      <c r="BC991" s="112"/>
      <c r="BF991" s="112"/>
      <c r="BG991" s="112"/>
      <c r="BH991" s="112"/>
      <c r="BI991" s="112"/>
      <c r="BJ991" s="112"/>
      <c r="BK991" s="112"/>
    </row>
    <row r="992" ht="15.75" customHeight="1"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T992" s="112"/>
      <c r="AW992" s="112"/>
      <c r="AX992" s="112"/>
      <c r="BA992" s="112"/>
      <c r="BB992" s="112"/>
      <c r="BC992" s="112"/>
      <c r="BF992" s="112"/>
      <c r="BG992" s="112"/>
      <c r="BH992" s="112"/>
      <c r="BI992" s="112"/>
      <c r="BJ992" s="112"/>
      <c r="BK992" s="112"/>
    </row>
    <row r="993" ht="15.75" customHeight="1"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T993" s="112"/>
      <c r="AW993" s="112"/>
      <c r="AX993" s="112"/>
      <c r="BA993" s="112"/>
      <c r="BB993" s="112"/>
      <c r="BC993" s="112"/>
      <c r="BF993" s="112"/>
      <c r="BG993" s="112"/>
      <c r="BH993" s="112"/>
      <c r="BI993" s="112"/>
      <c r="BJ993" s="112"/>
      <c r="BK993" s="112"/>
    </row>
    <row r="994" ht="15.75" customHeight="1"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T994" s="112"/>
      <c r="AW994" s="112"/>
      <c r="AX994" s="112"/>
      <c r="BA994" s="112"/>
      <c r="BB994" s="112"/>
      <c r="BC994" s="112"/>
      <c r="BF994" s="112"/>
      <c r="BG994" s="112"/>
      <c r="BH994" s="112"/>
      <c r="BI994" s="112"/>
      <c r="BJ994" s="112"/>
      <c r="BK994" s="112"/>
    </row>
    <row r="995" ht="15.75" customHeight="1"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T995" s="112"/>
      <c r="AW995" s="112"/>
      <c r="AX995" s="112"/>
      <c r="BA995" s="112"/>
      <c r="BB995" s="112"/>
      <c r="BC995" s="112"/>
      <c r="BF995" s="112"/>
      <c r="BG995" s="112"/>
      <c r="BH995" s="112"/>
      <c r="BI995" s="112"/>
      <c r="BJ995" s="112"/>
      <c r="BK995" s="112"/>
    </row>
    <row r="996" ht="15.75" customHeight="1"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T996" s="112"/>
      <c r="AW996" s="112"/>
      <c r="AX996" s="112"/>
      <c r="BA996" s="112"/>
      <c r="BB996" s="112"/>
      <c r="BC996" s="112"/>
      <c r="BF996" s="112"/>
      <c r="BG996" s="112"/>
      <c r="BH996" s="112"/>
      <c r="BI996" s="112"/>
      <c r="BJ996" s="112"/>
      <c r="BK996" s="112"/>
    </row>
    <row r="997" ht="15.75" customHeight="1"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T997" s="112"/>
      <c r="AW997" s="112"/>
      <c r="AX997" s="112"/>
      <c r="BA997" s="112"/>
      <c r="BB997" s="112"/>
      <c r="BC997" s="112"/>
      <c r="BF997" s="112"/>
      <c r="BG997" s="112"/>
      <c r="BH997" s="112"/>
      <c r="BI997" s="112"/>
      <c r="BJ997" s="112"/>
      <c r="BK997" s="112"/>
    </row>
    <row r="998" ht="15.75" customHeight="1"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T998" s="112"/>
      <c r="AW998" s="112"/>
      <c r="AX998" s="112"/>
      <c r="BA998" s="112"/>
      <c r="BB998" s="112"/>
      <c r="BC998" s="112"/>
      <c r="BF998" s="112"/>
      <c r="BG998" s="112"/>
      <c r="BH998" s="112"/>
      <c r="BI998" s="112"/>
      <c r="BJ998" s="112"/>
      <c r="BK998" s="112"/>
    </row>
    <row r="999" ht="15.75" customHeight="1"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F999" s="112"/>
      <c r="AG999" s="112"/>
      <c r="AH999" s="112"/>
      <c r="AI999" s="112"/>
      <c r="AJ999" s="112"/>
      <c r="AK999" s="112"/>
      <c r="AL999" s="112"/>
      <c r="AM999" s="112"/>
      <c r="AN999" s="112"/>
      <c r="AO999" s="112"/>
      <c r="AP999" s="112"/>
      <c r="AQ999" s="112"/>
      <c r="AR999" s="112"/>
      <c r="AS999" s="112"/>
      <c r="AT999" s="112"/>
      <c r="AW999" s="112"/>
      <c r="AX999" s="112"/>
      <c r="BA999" s="112"/>
      <c r="BB999" s="112"/>
      <c r="BC999" s="112"/>
      <c r="BF999" s="112"/>
      <c r="BG999" s="112"/>
      <c r="BH999" s="112"/>
      <c r="BI999" s="112"/>
      <c r="BJ999" s="112"/>
      <c r="BK999" s="112"/>
    </row>
    <row r="1000" ht="15.75" customHeight="1"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F1000" s="112"/>
      <c r="AG1000" s="112"/>
      <c r="AH1000" s="112"/>
      <c r="AI1000" s="112"/>
      <c r="AJ1000" s="112"/>
      <c r="AK1000" s="112"/>
      <c r="AL1000" s="112"/>
      <c r="AM1000" s="112"/>
      <c r="AN1000" s="112"/>
      <c r="AO1000" s="112"/>
      <c r="AP1000" s="112"/>
      <c r="AQ1000" s="112"/>
      <c r="AR1000" s="112"/>
      <c r="AS1000" s="112"/>
      <c r="AT1000" s="112"/>
      <c r="AW1000" s="112"/>
      <c r="AX1000" s="112"/>
      <c r="BA1000" s="112"/>
      <c r="BB1000" s="112"/>
      <c r="BC1000" s="112"/>
      <c r="BF1000" s="112"/>
      <c r="BG1000" s="112"/>
      <c r="BH1000" s="112"/>
      <c r="BI1000" s="112"/>
      <c r="BJ1000" s="112"/>
      <c r="BK1000" s="112"/>
    </row>
    <row r="1001" ht="15.75" customHeight="1"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  <c r="AA1001" s="112"/>
      <c r="AB1001" s="112"/>
      <c r="AC1001" s="112"/>
      <c r="AD1001" s="112"/>
      <c r="AF1001" s="112"/>
      <c r="AG1001" s="112"/>
      <c r="AH1001" s="112"/>
      <c r="AI1001" s="112"/>
      <c r="AJ1001" s="112"/>
      <c r="AK1001" s="112"/>
      <c r="AL1001" s="112"/>
      <c r="AM1001" s="112"/>
      <c r="AN1001" s="112"/>
      <c r="AO1001" s="112"/>
      <c r="AP1001" s="112"/>
      <c r="AQ1001" s="112"/>
      <c r="AR1001" s="112"/>
      <c r="AS1001" s="112"/>
      <c r="AT1001" s="112"/>
      <c r="AW1001" s="112"/>
      <c r="AX1001" s="112"/>
      <c r="BA1001" s="112"/>
      <c r="BB1001" s="112"/>
      <c r="BC1001" s="112"/>
      <c r="BF1001" s="112"/>
      <c r="BG1001" s="112"/>
      <c r="BH1001" s="112"/>
      <c r="BI1001" s="112"/>
      <c r="BJ1001" s="112"/>
      <c r="BK1001" s="112"/>
    </row>
    <row r="1002" ht="15.75" customHeight="1"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  <c r="AA1002" s="112"/>
      <c r="AB1002" s="112"/>
      <c r="AC1002" s="112"/>
      <c r="AD1002" s="112"/>
      <c r="AF1002" s="112"/>
      <c r="AG1002" s="112"/>
      <c r="AH1002" s="112"/>
      <c r="AI1002" s="112"/>
      <c r="AJ1002" s="112"/>
      <c r="AK1002" s="112"/>
      <c r="AL1002" s="112"/>
      <c r="AM1002" s="112"/>
      <c r="AN1002" s="112"/>
      <c r="AO1002" s="112"/>
      <c r="AP1002" s="112"/>
      <c r="AQ1002" s="112"/>
      <c r="AR1002" s="112"/>
      <c r="AS1002" s="112"/>
      <c r="AT1002" s="112"/>
      <c r="AW1002" s="112"/>
      <c r="AX1002" s="112"/>
      <c r="BA1002" s="112"/>
      <c r="BB1002" s="112"/>
      <c r="BC1002" s="112"/>
      <c r="BF1002" s="112"/>
      <c r="BG1002" s="112"/>
      <c r="BH1002" s="112"/>
      <c r="BI1002" s="112"/>
      <c r="BJ1002" s="112"/>
      <c r="BK1002" s="112"/>
    </row>
    <row r="1003" ht="15.75" customHeight="1"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  <c r="AA1003" s="112"/>
      <c r="AB1003" s="112"/>
      <c r="AC1003" s="112"/>
      <c r="AD1003" s="112"/>
      <c r="AF1003" s="112"/>
      <c r="AG1003" s="112"/>
      <c r="AH1003" s="112"/>
      <c r="AI1003" s="112"/>
      <c r="AJ1003" s="112"/>
      <c r="AK1003" s="112"/>
      <c r="AL1003" s="112"/>
      <c r="AM1003" s="112"/>
      <c r="AN1003" s="112"/>
      <c r="AO1003" s="112"/>
      <c r="AP1003" s="112"/>
      <c r="AQ1003" s="112"/>
      <c r="AR1003" s="112"/>
      <c r="AS1003" s="112"/>
      <c r="AT1003" s="112"/>
      <c r="AW1003" s="112"/>
      <c r="AX1003" s="112"/>
      <c r="BA1003" s="112"/>
      <c r="BB1003" s="112"/>
      <c r="BC1003" s="112"/>
      <c r="BF1003" s="112"/>
      <c r="BG1003" s="112"/>
      <c r="BH1003" s="112"/>
      <c r="BI1003" s="112"/>
      <c r="BJ1003" s="112"/>
      <c r="BK1003" s="112"/>
    </row>
    <row r="1004" ht="15.75" customHeight="1"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  <c r="AA1004" s="112"/>
      <c r="AB1004" s="112"/>
      <c r="AC1004" s="112"/>
      <c r="AD1004" s="112"/>
      <c r="AF1004" s="112"/>
      <c r="AG1004" s="112"/>
      <c r="AH1004" s="112"/>
      <c r="AI1004" s="112"/>
      <c r="AJ1004" s="112"/>
      <c r="AK1004" s="112"/>
      <c r="AL1004" s="112"/>
      <c r="AM1004" s="112"/>
      <c r="AN1004" s="112"/>
      <c r="AO1004" s="112"/>
      <c r="AP1004" s="112"/>
      <c r="AQ1004" s="112"/>
      <c r="AR1004" s="112"/>
      <c r="AS1004" s="112"/>
      <c r="AT1004" s="112"/>
      <c r="AW1004" s="112"/>
      <c r="AX1004" s="112"/>
      <c r="BA1004" s="112"/>
      <c r="BB1004" s="112"/>
      <c r="BC1004" s="112"/>
      <c r="BF1004" s="112"/>
      <c r="BG1004" s="112"/>
      <c r="BH1004" s="112"/>
      <c r="BI1004" s="112"/>
      <c r="BJ1004" s="112"/>
      <c r="BK1004" s="112"/>
    </row>
    <row r="1005" ht="15.75" customHeight="1"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  <c r="AA1005" s="112"/>
      <c r="AB1005" s="112"/>
      <c r="AC1005" s="112"/>
      <c r="AD1005" s="112"/>
      <c r="AF1005" s="112"/>
      <c r="AG1005" s="112"/>
      <c r="AH1005" s="112"/>
      <c r="AI1005" s="112"/>
      <c r="AJ1005" s="112"/>
      <c r="AK1005" s="112"/>
      <c r="AL1005" s="112"/>
      <c r="AM1005" s="112"/>
      <c r="AN1005" s="112"/>
      <c r="AO1005" s="112"/>
      <c r="AP1005" s="112"/>
      <c r="AQ1005" s="112"/>
      <c r="AR1005" s="112"/>
      <c r="AS1005" s="112"/>
      <c r="AT1005" s="112"/>
      <c r="AW1005" s="112"/>
      <c r="AX1005" s="112"/>
      <c r="BA1005" s="112"/>
      <c r="BB1005" s="112"/>
      <c r="BC1005" s="112"/>
      <c r="BF1005" s="112"/>
      <c r="BG1005" s="112"/>
      <c r="BH1005" s="112"/>
      <c r="BI1005" s="112"/>
      <c r="BJ1005" s="112"/>
      <c r="BK1005" s="112"/>
    </row>
    <row r="1006" ht="15.75" customHeight="1"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  <c r="AA1006" s="112"/>
      <c r="AB1006" s="112"/>
      <c r="AC1006" s="112"/>
      <c r="AD1006" s="112"/>
      <c r="AF1006" s="112"/>
      <c r="AG1006" s="112"/>
      <c r="AH1006" s="112"/>
      <c r="AI1006" s="112"/>
      <c r="AJ1006" s="112"/>
      <c r="AK1006" s="112"/>
      <c r="AL1006" s="112"/>
      <c r="AM1006" s="112"/>
      <c r="AN1006" s="112"/>
      <c r="AO1006" s="112"/>
      <c r="AP1006" s="112"/>
      <c r="AQ1006" s="112"/>
      <c r="AR1006" s="112"/>
      <c r="AS1006" s="112"/>
      <c r="AT1006" s="112"/>
      <c r="AW1006" s="112"/>
      <c r="AX1006" s="112"/>
      <c r="BA1006" s="112"/>
      <c r="BB1006" s="112"/>
      <c r="BC1006" s="112"/>
      <c r="BF1006" s="112"/>
      <c r="BG1006" s="112"/>
      <c r="BH1006" s="112"/>
      <c r="BI1006" s="112"/>
      <c r="BJ1006" s="112"/>
      <c r="BK1006" s="112"/>
    </row>
    <row r="1007" ht="15.75" customHeight="1"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  <c r="AA1007" s="112"/>
      <c r="AB1007" s="112"/>
      <c r="AC1007" s="112"/>
      <c r="AD1007" s="112"/>
      <c r="AF1007" s="112"/>
      <c r="AG1007" s="112"/>
      <c r="AH1007" s="112"/>
      <c r="AI1007" s="112"/>
      <c r="AJ1007" s="112"/>
      <c r="AK1007" s="112"/>
      <c r="AL1007" s="112"/>
      <c r="AM1007" s="112"/>
      <c r="AN1007" s="112"/>
      <c r="AO1007" s="112"/>
      <c r="AP1007" s="112"/>
      <c r="AQ1007" s="112"/>
      <c r="AR1007" s="112"/>
      <c r="AS1007" s="112"/>
      <c r="AT1007" s="112"/>
      <c r="AW1007" s="112"/>
      <c r="AX1007" s="112"/>
      <c r="BA1007" s="112"/>
      <c r="BB1007" s="112"/>
      <c r="BC1007" s="112"/>
      <c r="BF1007" s="112"/>
      <c r="BG1007" s="112"/>
      <c r="BH1007" s="112"/>
      <c r="BI1007" s="112"/>
      <c r="BJ1007" s="112"/>
      <c r="BK1007" s="112"/>
    </row>
    <row r="1008" ht="15.75" customHeight="1"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  <c r="AA1008" s="112"/>
      <c r="AB1008" s="112"/>
      <c r="AC1008" s="112"/>
      <c r="AD1008" s="112"/>
      <c r="AF1008" s="112"/>
      <c r="AG1008" s="112"/>
      <c r="AH1008" s="112"/>
      <c r="AI1008" s="112"/>
      <c r="AJ1008" s="112"/>
      <c r="AK1008" s="112"/>
      <c r="AL1008" s="112"/>
      <c r="AM1008" s="112"/>
      <c r="AN1008" s="112"/>
      <c r="AO1008" s="112"/>
      <c r="AP1008" s="112"/>
      <c r="AQ1008" s="112"/>
      <c r="AR1008" s="112"/>
      <c r="AS1008" s="112"/>
      <c r="AT1008" s="112"/>
      <c r="AW1008" s="112"/>
      <c r="AX1008" s="112"/>
      <c r="BA1008" s="112"/>
      <c r="BB1008" s="112"/>
      <c r="BC1008" s="112"/>
      <c r="BF1008" s="112"/>
      <c r="BG1008" s="112"/>
      <c r="BH1008" s="112"/>
      <c r="BI1008" s="112"/>
      <c r="BJ1008" s="112"/>
      <c r="BK1008" s="112"/>
    </row>
    <row r="1009" ht="15.75" customHeight="1"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  <c r="AA1009" s="112"/>
      <c r="AB1009" s="112"/>
      <c r="AC1009" s="112"/>
      <c r="AD1009" s="112"/>
      <c r="AF1009" s="112"/>
      <c r="AG1009" s="112"/>
      <c r="AH1009" s="112"/>
      <c r="AI1009" s="112"/>
      <c r="AJ1009" s="112"/>
      <c r="AK1009" s="112"/>
      <c r="AL1009" s="112"/>
      <c r="AM1009" s="112"/>
      <c r="AN1009" s="112"/>
      <c r="AO1009" s="112"/>
      <c r="AP1009" s="112"/>
      <c r="AQ1009" s="112"/>
      <c r="AR1009" s="112"/>
      <c r="AS1009" s="112"/>
      <c r="AT1009" s="112"/>
      <c r="AW1009" s="112"/>
      <c r="AX1009" s="112"/>
      <c r="BA1009" s="112"/>
      <c r="BB1009" s="112"/>
      <c r="BC1009" s="112"/>
      <c r="BF1009" s="112"/>
      <c r="BG1009" s="112"/>
      <c r="BH1009" s="112"/>
      <c r="BI1009" s="112"/>
      <c r="BJ1009" s="112"/>
      <c r="BK1009" s="112"/>
    </row>
    <row r="1010" ht="15.75" customHeight="1"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  <c r="AA1010" s="112"/>
      <c r="AB1010" s="112"/>
      <c r="AC1010" s="112"/>
      <c r="AD1010" s="112"/>
      <c r="AF1010" s="112"/>
      <c r="AG1010" s="112"/>
      <c r="AH1010" s="112"/>
      <c r="AI1010" s="112"/>
      <c r="AJ1010" s="112"/>
      <c r="AK1010" s="112"/>
      <c r="AL1010" s="112"/>
      <c r="AM1010" s="112"/>
      <c r="AN1010" s="112"/>
      <c r="AO1010" s="112"/>
      <c r="AP1010" s="112"/>
      <c r="AQ1010" s="112"/>
      <c r="AR1010" s="112"/>
      <c r="AS1010" s="112"/>
      <c r="AT1010" s="112"/>
      <c r="AW1010" s="112"/>
      <c r="AX1010" s="112"/>
      <c r="BA1010" s="112"/>
      <c r="BB1010" s="112"/>
      <c r="BC1010" s="112"/>
      <c r="BF1010" s="112"/>
      <c r="BG1010" s="112"/>
      <c r="BH1010" s="112"/>
      <c r="BI1010" s="112"/>
      <c r="BJ1010" s="112"/>
      <c r="BK1010" s="112"/>
    </row>
    <row r="1011" ht="15.75" customHeight="1"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  <c r="AA1011" s="112"/>
      <c r="AB1011" s="112"/>
      <c r="AC1011" s="112"/>
      <c r="AD1011" s="112"/>
      <c r="AF1011" s="112"/>
      <c r="AG1011" s="112"/>
      <c r="AH1011" s="112"/>
      <c r="AI1011" s="112"/>
      <c r="AJ1011" s="112"/>
      <c r="AK1011" s="112"/>
      <c r="AL1011" s="112"/>
      <c r="AM1011" s="112"/>
      <c r="AN1011" s="112"/>
      <c r="AO1011" s="112"/>
      <c r="AP1011" s="112"/>
      <c r="AQ1011" s="112"/>
      <c r="AR1011" s="112"/>
      <c r="AS1011" s="112"/>
      <c r="AT1011" s="112"/>
      <c r="AW1011" s="112"/>
      <c r="AX1011" s="112"/>
      <c r="BA1011" s="112"/>
      <c r="BB1011" s="112"/>
      <c r="BC1011" s="112"/>
      <c r="BF1011" s="112"/>
      <c r="BG1011" s="112"/>
      <c r="BH1011" s="112"/>
      <c r="BI1011" s="112"/>
      <c r="BJ1011" s="112"/>
      <c r="BK1011" s="112"/>
    </row>
    <row r="1012" ht="15.75" customHeight="1"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  <c r="AA1012" s="112"/>
      <c r="AB1012" s="112"/>
      <c r="AC1012" s="112"/>
      <c r="AD1012" s="112"/>
      <c r="AF1012" s="112"/>
      <c r="AG1012" s="112"/>
      <c r="AH1012" s="112"/>
      <c r="AI1012" s="112"/>
      <c r="AJ1012" s="112"/>
      <c r="AK1012" s="112"/>
      <c r="AL1012" s="112"/>
      <c r="AM1012" s="112"/>
      <c r="AN1012" s="112"/>
      <c r="AO1012" s="112"/>
      <c r="AP1012" s="112"/>
      <c r="AQ1012" s="112"/>
      <c r="AR1012" s="112"/>
      <c r="AS1012" s="112"/>
      <c r="AT1012" s="112"/>
      <c r="AW1012" s="112"/>
      <c r="AX1012" s="112"/>
      <c r="BA1012" s="112"/>
      <c r="BB1012" s="112"/>
      <c r="BC1012" s="112"/>
      <c r="BF1012" s="112"/>
      <c r="BG1012" s="112"/>
      <c r="BH1012" s="112"/>
      <c r="BI1012" s="112"/>
      <c r="BJ1012" s="112"/>
      <c r="BK1012" s="112"/>
    </row>
    <row r="1013" ht="15.75" customHeight="1"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  <c r="AA1013" s="112"/>
      <c r="AB1013" s="112"/>
      <c r="AC1013" s="112"/>
      <c r="AD1013" s="112"/>
      <c r="AF1013" s="112"/>
      <c r="AG1013" s="112"/>
      <c r="AH1013" s="112"/>
      <c r="AI1013" s="112"/>
      <c r="AJ1013" s="112"/>
      <c r="AK1013" s="112"/>
      <c r="AL1013" s="112"/>
      <c r="AM1013" s="112"/>
      <c r="AN1013" s="112"/>
      <c r="AO1013" s="112"/>
      <c r="AP1013" s="112"/>
      <c r="AQ1013" s="112"/>
      <c r="AR1013" s="112"/>
      <c r="AS1013" s="112"/>
      <c r="AT1013" s="112"/>
      <c r="AW1013" s="112"/>
      <c r="AX1013" s="112"/>
      <c r="BA1013" s="112"/>
      <c r="BB1013" s="112"/>
      <c r="BC1013" s="112"/>
      <c r="BF1013" s="112"/>
      <c r="BG1013" s="112"/>
      <c r="BH1013" s="112"/>
      <c r="BI1013" s="112"/>
      <c r="BJ1013" s="112"/>
      <c r="BK1013" s="112"/>
    </row>
    <row r="1014" ht="15.75" customHeight="1"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  <c r="AA1014" s="112"/>
      <c r="AB1014" s="112"/>
      <c r="AC1014" s="112"/>
      <c r="AD1014" s="112"/>
      <c r="AF1014" s="112"/>
      <c r="AG1014" s="112"/>
      <c r="AH1014" s="112"/>
      <c r="AI1014" s="112"/>
      <c r="AJ1014" s="112"/>
      <c r="AK1014" s="112"/>
      <c r="AL1014" s="112"/>
      <c r="AM1014" s="112"/>
      <c r="AN1014" s="112"/>
      <c r="AO1014" s="112"/>
      <c r="AP1014" s="112"/>
      <c r="AQ1014" s="112"/>
      <c r="AR1014" s="112"/>
      <c r="AS1014" s="112"/>
      <c r="AT1014" s="112"/>
      <c r="AW1014" s="112"/>
      <c r="AX1014" s="112"/>
      <c r="BA1014" s="112"/>
      <c r="BB1014" s="112"/>
      <c r="BC1014" s="112"/>
      <c r="BF1014" s="112"/>
      <c r="BG1014" s="112"/>
      <c r="BH1014" s="112"/>
      <c r="BI1014" s="112"/>
      <c r="BJ1014" s="112"/>
      <c r="BK1014" s="112"/>
    </row>
    <row r="1015" ht="15.75" customHeight="1"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  <c r="AA1015" s="112"/>
      <c r="AB1015" s="112"/>
      <c r="AC1015" s="112"/>
      <c r="AD1015" s="112"/>
      <c r="AF1015" s="112"/>
      <c r="AG1015" s="112"/>
      <c r="AH1015" s="112"/>
      <c r="AI1015" s="112"/>
      <c r="AJ1015" s="112"/>
      <c r="AK1015" s="112"/>
      <c r="AL1015" s="112"/>
      <c r="AM1015" s="112"/>
      <c r="AN1015" s="112"/>
      <c r="AO1015" s="112"/>
      <c r="AP1015" s="112"/>
      <c r="AQ1015" s="112"/>
      <c r="AR1015" s="112"/>
      <c r="AS1015" s="112"/>
      <c r="AT1015" s="112"/>
      <c r="AW1015" s="112"/>
      <c r="AX1015" s="112"/>
      <c r="BA1015" s="112"/>
      <c r="BB1015" s="112"/>
      <c r="BC1015" s="112"/>
      <c r="BF1015" s="112"/>
      <c r="BG1015" s="112"/>
      <c r="BH1015" s="112"/>
      <c r="BI1015" s="112"/>
      <c r="BJ1015" s="112"/>
      <c r="BK1015" s="112"/>
    </row>
    <row r="1016" ht="15.75" customHeight="1"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  <c r="AA1016" s="112"/>
      <c r="AB1016" s="112"/>
      <c r="AC1016" s="112"/>
      <c r="AD1016" s="112"/>
      <c r="AF1016" s="112"/>
      <c r="AG1016" s="112"/>
      <c r="AH1016" s="112"/>
      <c r="AI1016" s="112"/>
      <c r="AJ1016" s="112"/>
      <c r="AK1016" s="112"/>
      <c r="AL1016" s="112"/>
      <c r="AM1016" s="112"/>
      <c r="AN1016" s="112"/>
      <c r="AO1016" s="112"/>
      <c r="AP1016" s="112"/>
      <c r="AQ1016" s="112"/>
      <c r="AR1016" s="112"/>
      <c r="AS1016" s="112"/>
      <c r="AT1016" s="112"/>
      <c r="AW1016" s="112"/>
      <c r="AX1016" s="112"/>
      <c r="BA1016" s="112"/>
      <c r="BB1016" s="112"/>
      <c r="BC1016" s="112"/>
      <c r="BF1016" s="112"/>
      <c r="BG1016" s="112"/>
      <c r="BH1016" s="112"/>
      <c r="BI1016" s="112"/>
      <c r="BJ1016" s="112"/>
      <c r="BK1016" s="112"/>
    </row>
    <row r="1017" ht="15.75" customHeight="1"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  <c r="AA1017" s="112"/>
      <c r="AB1017" s="112"/>
      <c r="AC1017" s="112"/>
      <c r="AD1017" s="112"/>
      <c r="AF1017" s="112"/>
      <c r="AG1017" s="112"/>
      <c r="AH1017" s="112"/>
      <c r="AI1017" s="112"/>
      <c r="AJ1017" s="112"/>
      <c r="AK1017" s="112"/>
      <c r="AL1017" s="112"/>
      <c r="AM1017" s="112"/>
      <c r="AN1017" s="112"/>
      <c r="AO1017" s="112"/>
      <c r="AP1017" s="112"/>
      <c r="AQ1017" s="112"/>
      <c r="AR1017" s="112"/>
      <c r="AS1017" s="112"/>
      <c r="AT1017" s="112"/>
      <c r="AW1017" s="112"/>
      <c r="AX1017" s="112"/>
      <c r="BA1017" s="112"/>
      <c r="BB1017" s="112"/>
      <c r="BC1017" s="112"/>
      <c r="BF1017" s="112"/>
      <c r="BG1017" s="112"/>
      <c r="BH1017" s="112"/>
      <c r="BI1017" s="112"/>
      <c r="BJ1017" s="112"/>
      <c r="BK1017" s="112"/>
    </row>
    <row r="1018" ht="15.75" customHeight="1"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  <c r="AA1018" s="112"/>
      <c r="AB1018" s="112"/>
      <c r="AC1018" s="112"/>
      <c r="AD1018" s="112"/>
      <c r="AF1018" s="112"/>
      <c r="AG1018" s="112"/>
      <c r="AH1018" s="112"/>
      <c r="AI1018" s="112"/>
      <c r="AJ1018" s="112"/>
      <c r="AK1018" s="112"/>
      <c r="AL1018" s="112"/>
      <c r="AM1018" s="112"/>
      <c r="AN1018" s="112"/>
      <c r="AO1018" s="112"/>
      <c r="AP1018" s="112"/>
      <c r="AQ1018" s="112"/>
      <c r="AR1018" s="112"/>
      <c r="AS1018" s="112"/>
      <c r="AT1018" s="112"/>
      <c r="AW1018" s="112"/>
      <c r="AX1018" s="112"/>
      <c r="BA1018" s="112"/>
      <c r="BB1018" s="112"/>
      <c r="BC1018" s="112"/>
      <c r="BF1018" s="112"/>
      <c r="BG1018" s="112"/>
      <c r="BH1018" s="112"/>
      <c r="BI1018" s="112"/>
      <c r="BJ1018" s="112"/>
      <c r="BK1018" s="112"/>
    </row>
    <row r="1019" ht="15.75" customHeight="1"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  <c r="AA1019" s="112"/>
      <c r="AB1019" s="112"/>
      <c r="AC1019" s="112"/>
      <c r="AD1019" s="112"/>
      <c r="AF1019" s="112"/>
      <c r="AG1019" s="112"/>
      <c r="AH1019" s="112"/>
      <c r="AI1019" s="112"/>
      <c r="AJ1019" s="112"/>
      <c r="AK1019" s="112"/>
      <c r="AL1019" s="112"/>
      <c r="AM1019" s="112"/>
      <c r="AN1019" s="112"/>
      <c r="AO1019" s="112"/>
      <c r="AP1019" s="112"/>
      <c r="AQ1019" s="112"/>
      <c r="AR1019" s="112"/>
      <c r="AS1019" s="112"/>
      <c r="AT1019" s="112"/>
      <c r="AW1019" s="112"/>
      <c r="AX1019" s="112"/>
      <c r="BA1019" s="112"/>
      <c r="BB1019" s="112"/>
      <c r="BC1019" s="112"/>
      <c r="BF1019" s="112"/>
      <c r="BG1019" s="112"/>
      <c r="BH1019" s="112"/>
      <c r="BI1019" s="112"/>
      <c r="BJ1019" s="112"/>
      <c r="BK1019" s="112"/>
    </row>
    <row r="1020" ht="15.75" customHeight="1"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  <c r="AA1020" s="112"/>
      <c r="AB1020" s="112"/>
      <c r="AC1020" s="112"/>
      <c r="AD1020" s="112"/>
      <c r="AF1020" s="112"/>
      <c r="AG1020" s="112"/>
      <c r="AH1020" s="112"/>
      <c r="AI1020" s="112"/>
      <c r="AJ1020" s="112"/>
      <c r="AK1020" s="112"/>
      <c r="AL1020" s="112"/>
      <c r="AM1020" s="112"/>
      <c r="AN1020" s="112"/>
      <c r="AO1020" s="112"/>
      <c r="AP1020" s="112"/>
      <c r="AQ1020" s="112"/>
      <c r="AR1020" s="112"/>
      <c r="AS1020" s="112"/>
      <c r="AT1020" s="112"/>
      <c r="AW1020" s="112"/>
      <c r="AX1020" s="112"/>
      <c r="BA1020" s="112"/>
      <c r="BB1020" s="112"/>
      <c r="BC1020" s="112"/>
      <c r="BF1020" s="112"/>
      <c r="BG1020" s="112"/>
      <c r="BH1020" s="112"/>
      <c r="BI1020" s="112"/>
      <c r="BJ1020" s="112"/>
      <c r="BK1020" s="112"/>
    </row>
    <row r="1021" ht="15.75" customHeight="1"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  <c r="AA1021" s="112"/>
      <c r="AB1021" s="112"/>
      <c r="AC1021" s="112"/>
      <c r="AD1021" s="112"/>
      <c r="AF1021" s="112"/>
      <c r="AG1021" s="112"/>
      <c r="AH1021" s="112"/>
      <c r="AI1021" s="112"/>
      <c r="AJ1021" s="112"/>
      <c r="AK1021" s="112"/>
      <c r="AL1021" s="112"/>
      <c r="AM1021" s="112"/>
      <c r="AN1021" s="112"/>
      <c r="AO1021" s="112"/>
      <c r="AP1021" s="112"/>
      <c r="AQ1021" s="112"/>
      <c r="AR1021" s="112"/>
      <c r="AS1021" s="112"/>
      <c r="AT1021" s="112"/>
      <c r="AW1021" s="112"/>
      <c r="AX1021" s="112"/>
      <c r="BA1021" s="112"/>
      <c r="BB1021" s="112"/>
      <c r="BC1021" s="112"/>
      <c r="BF1021" s="112"/>
      <c r="BG1021" s="112"/>
      <c r="BH1021" s="112"/>
      <c r="BI1021" s="112"/>
      <c r="BJ1021" s="112"/>
      <c r="BK1021" s="112"/>
    </row>
    <row r="1022" ht="15.75" customHeight="1"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  <c r="AA1022" s="112"/>
      <c r="AB1022" s="112"/>
      <c r="AC1022" s="112"/>
      <c r="AD1022" s="112"/>
      <c r="AF1022" s="112"/>
      <c r="AG1022" s="112"/>
      <c r="AH1022" s="112"/>
      <c r="AI1022" s="112"/>
      <c r="AJ1022" s="112"/>
      <c r="AK1022" s="112"/>
      <c r="AL1022" s="112"/>
      <c r="AM1022" s="112"/>
      <c r="AN1022" s="112"/>
      <c r="AO1022" s="112"/>
      <c r="AP1022" s="112"/>
      <c r="AQ1022" s="112"/>
      <c r="AR1022" s="112"/>
      <c r="AS1022" s="112"/>
      <c r="AT1022" s="112"/>
      <c r="AW1022" s="112"/>
      <c r="AX1022" s="112"/>
      <c r="BA1022" s="112"/>
      <c r="BB1022" s="112"/>
      <c r="BC1022" s="112"/>
      <c r="BF1022" s="112"/>
      <c r="BG1022" s="112"/>
      <c r="BH1022" s="112"/>
      <c r="BI1022" s="112"/>
      <c r="BJ1022" s="112"/>
      <c r="BK1022" s="112"/>
    </row>
    <row r="1023" ht="15.75" customHeight="1"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  <c r="AA1023" s="112"/>
      <c r="AB1023" s="112"/>
      <c r="AC1023" s="112"/>
      <c r="AD1023" s="112"/>
      <c r="AF1023" s="112"/>
      <c r="AG1023" s="112"/>
      <c r="AH1023" s="112"/>
      <c r="AI1023" s="112"/>
      <c r="AJ1023" s="112"/>
      <c r="AK1023" s="112"/>
      <c r="AL1023" s="112"/>
      <c r="AM1023" s="112"/>
      <c r="AN1023" s="112"/>
      <c r="AO1023" s="112"/>
      <c r="AP1023" s="112"/>
      <c r="AQ1023" s="112"/>
      <c r="AR1023" s="112"/>
      <c r="AS1023" s="112"/>
      <c r="AT1023" s="112"/>
      <c r="AW1023" s="112"/>
      <c r="AX1023" s="112"/>
      <c r="BA1023" s="112"/>
      <c r="BB1023" s="112"/>
      <c r="BC1023" s="112"/>
      <c r="BF1023" s="112"/>
      <c r="BG1023" s="112"/>
      <c r="BH1023" s="112"/>
      <c r="BI1023" s="112"/>
      <c r="BJ1023" s="112"/>
      <c r="BK1023" s="112"/>
    </row>
    <row r="1024" ht="15.75" customHeight="1"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  <c r="AA1024" s="112"/>
      <c r="AB1024" s="112"/>
      <c r="AC1024" s="112"/>
      <c r="AD1024" s="112"/>
      <c r="AF1024" s="112"/>
      <c r="AG1024" s="112"/>
      <c r="AH1024" s="112"/>
      <c r="AI1024" s="112"/>
      <c r="AJ1024" s="112"/>
      <c r="AK1024" s="112"/>
      <c r="AL1024" s="112"/>
      <c r="AM1024" s="112"/>
      <c r="AN1024" s="112"/>
      <c r="AO1024" s="112"/>
      <c r="AP1024" s="112"/>
      <c r="AQ1024" s="112"/>
      <c r="AR1024" s="112"/>
      <c r="AS1024" s="112"/>
      <c r="AT1024" s="112"/>
      <c r="AW1024" s="112"/>
      <c r="AX1024" s="112"/>
      <c r="BA1024" s="112"/>
      <c r="BB1024" s="112"/>
      <c r="BC1024" s="112"/>
      <c r="BF1024" s="112"/>
      <c r="BG1024" s="112"/>
      <c r="BH1024" s="112"/>
      <c r="BI1024" s="112"/>
      <c r="BJ1024" s="112"/>
      <c r="BK1024" s="112"/>
    </row>
    <row r="1025" ht="15.75" customHeight="1"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  <c r="AA1025" s="112"/>
      <c r="AB1025" s="112"/>
      <c r="AC1025" s="112"/>
      <c r="AD1025" s="112"/>
      <c r="AF1025" s="112"/>
      <c r="AG1025" s="112"/>
      <c r="AH1025" s="112"/>
      <c r="AI1025" s="112"/>
      <c r="AJ1025" s="112"/>
      <c r="AK1025" s="112"/>
      <c r="AL1025" s="112"/>
      <c r="AM1025" s="112"/>
      <c r="AN1025" s="112"/>
      <c r="AO1025" s="112"/>
      <c r="AP1025" s="112"/>
      <c r="AQ1025" s="112"/>
      <c r="AR1025" s="112"/>
      <c r="AS1025" s="112"/>
      <c r="AT1025" s="112"/>
      <c r="AW1025" s="112"/>
      <c r="AX1025" s="112"/>
      <c r="BA1025" s="112"/>
      <c r="BB1025" s="112"/>
      <c r="BC1025" s="112"/>
      <c r="BF1025" s="112"/>
      <c r="BG1025" s="112"/>
      <c r="BH1025" s="112"/>
      <c r="BI1025" s="112"/>
      <c r="BJ1025" s="112"/>
      <c r="BK1025" s="112"/>
    </row>
    <row r="1026" ht="15.75" customHeight="1"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  <c r="AA1026" s="112"/>
      <c r="AB1026" s="112"/>
      <c r="AC1026" s="112"/>
      <c r="AD1026" s="112"/>
      <c r="AF1026" s="112"/>
      <c r="AG1026" s="112"/>
      <c r="AH1026" s="112"/>
      <c r="AI1026" s="112"/>
      <c r="AJ1026" s="112"/>
      <c r="AK1026" s="112"/>
      <c r="AL1026" s="112"/>
      <c r="AM1026" s="112"/>
      <c r="AN1026" s="112"/>
      <c r="AO1026" s="112"/>
      <c r="AP1026" s="112"/>
      <c r="AQ1026" s="112"/>
      <c r="AR1026" s="112"/>
      <c r="AS1026" s="112"/>
      <c r="AT1026" s="112"/>
      <c r="AW1026" s="112"/>
      <c r="AX1026" s="112"/>
      <c r="BA1026" s="112"/>
      <c r="BB1026" s="112"/>
      <c r="BC1026" s="112"/>
      <c r="BF1026" s="112"/>
      <c r="BG1026" s="112"/>
      <c r="BH1026" s="112"/>
      <c r="BI1026" s="112"/>
      <c r="BJ1026" s="112"/>
      <c r="BK1026" s="112"/>
    </row>
    <row r="1027" ht="15.75" customHeight="1"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  <c r="AA1027" s="112"/>
      <c r="AB1027" s="112"/>
      <c r="AC1027" s="112"/>
      <c r="AD1027" s="112"/>
      <c r="AF1027" s="112"/>
      <c r="AG1027" s="112"/>
      <c r="AH1027" s="112"/>
      <c r="AI1027" s="112"/>
      <c r="AJ1027" s="112"/>
      <c r="AK1027" s="112"/>
      <c r="AL1027" s="112"/>
      <c r="AM1027" s="112"/>
      <c r="AN1027" s="112"/>
      <c r="AO1027" s="112"/>
      <c r="AP1027" s="112"/>
      <c r="AQ1027" s="112"/>
      <c r="AR1027" s="112"/>
      <c r="AS1027" s="112"/>
      <c r="AT1027" s="112"/>
      <c r="AW1027" s="112"/>
      <c r="AX1027" s="112"/>
      <c r="BA1027" s="112"/>
      <c r="BB1027" s="112"/>
      <c r="BC1027" s="112"/>
      <c r="BF1027" s="112"/>
      <c r="BG1027" s="112"/>
      <c r="BH1027" s="112"/>
      <c r="BI1027" s="112"/>
      <c r="BJ1027" s="112"/>
      <c r="BK1027" s="112"/>
    </row>
    <row r="1028" ht="15.75" customHeight="1"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  <c r="AA1028" s="112"/>
      <c r="AB1028" s="112"/>
      <c r="AC1028" s="112"/>
      <c r="AD1028" s="112"/>
      <c r="AF1028" s="112"/>
      <c r="AG1028" s="112"/>
      <c r="AH1028" s="112"/>
      <c r="AI1028" s="112"/>
      <c r="AJ1028" s="112"/>
      <c r="AK1028" s="112"/>
      <c r="AL1028" s="112"/>
      <c r="AM1028" s="112"/>
      <c r="AN1028" s="112"/>
      <c r="AO1028" s="112"/>
      <c r="AP1028" s="112"/>
      <c r="AQ1028" s="112"/>
      <c r="AR1028" s="112"/>
      <c r="AS1028" s="112"/>
      <c r="AT1028" s="112"/>
      <c r="AW1028" s="112"/>
      <c r="AX1028" s="112"/>
      <c r="BA1028" s="112"/>
      <c r="BB1028" s="112"/>
      <c r="BC1028" s="112"/>
      <c r="BF1028" s="112"/>
      <c r="BG1028" s="112"/>
      <c r="BH1028" s="112"/>
      <c r="BI1028" s="112"/>
      <c r="BJ1028" s="112"/>
      <c r="BK1028" s="112"/>
    </row>
  </sheetData>
  <mergeCells count="43">
    <mergeCell ref="B1:E1"/>
    <mergeCell ref="B2:E2"/>
    <mergeCell ref="C5:F5"/>
    <mergeCell ref="A7:B7"/>
    <mergeCell ref="C7:K7"/>
    <mergeCell ref="L7:O7"/>
    <mergeCell ref="P7:U7"/>
    <mergeCell ref="L9:O9"/>
    <mergeCell ref="L11:O12"/>
    <mergeCell ref="L76:U77"/>
    <mergeCell ref="L78:U79"/>
    <mergeCell ref="C8:K8"/>
    <mergeCell ref="L8:O8"/>
    <mergeCell ref="P8:U8"/>
    <mergeCell ref="C9:K9"/>
    <mergeCell ref="P9:U9"/>
    <mergeCell ref="A10:U10"/>
    <mergeCell ref="P11:U11"/>
    <mergeCell ref="C16:G16"/>
    <mergeCell ref="H16:K16"/>
    <mergeCell ref="L16:O16"/>
    <mergeCell ref="P16:S16"/>
    <mergeCell ref="C11:K11"/>
    <mergeCell ref="C12:K12"/>
    <mergeCell ref="P12:U12"/>
    <mergeCell ref="A13:U13"/>
    <mergeCell ref="C14:U14"/>
    <mergeCell ref="C15:G15"/>
    <mergeCell ref="H15:S15"/>
    <mergeCell ref="A76:B77"/>
    <mergeCell ref="A78:B79"/>
    <mergeCell ref="A82:D82"/>
    <mergeCell ref="C78:G78"/>
    <mergeCell ref="H78:K78"/>
    <mergeCell ref="C79:G79"/>
    <mergeCell ref="H79:K79"/>
    <mergeCell ref="A8:B8"/>
    <mergeCell ref="A11:B12"/>
    <mergeCell ref="A14:B15"/>
    <mergeCell ref="C76:G76"/>
    <mergeCell ref="H76:K76"/>
    <mergeCell ref="C77:G77"/>
    <mergeCell ref="H77:K77"/>
  </mergeCells>
  <conditionalFormatting sqref="C11:K11">
    <cfRule type="notContainsText" dxfId="3" priority="1" operator="notContains" text="&lt;TYPE YOUR FULL NAME HERE&gt;">
      <formula>ISERROR(SEARCH(("&lt;TYPE YOUR FULL NAME HERE&gt;"),(C11)))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3.57"/>
    <col customWidth="1" min="3" max="3" width="4.29"/>
    <col customWidth="1" min="4" max="4" width="25.43"/>
    <col customWidth="1" min="5" max="5" width="3.71"/>
    <col customWidth="1" min="6" max="10" width="6.57"/>
    <col customWidth="1" min="11" max="11" width="11.14"/>
    <col customWidth="1" min="12" max="23" width="6.57"/>
    <col customWidth="1" min="24" max="26" width="11.14"/>
    <col customWidth="1" min="27" max="38" width="5.14"/>
    <col customWidth="1" min="39" max="40" width="0.43"/>
  </cols>
  <sheetData>
    <row r="1">
      <c r="A1" s="144"/>
      <c r="B1" s="144"/>
      <c r="C1" s="145"/>
      <c r="D1" s="144"/>
      <c r="H1" s="144"/>
      <c r="I1" s="144"/>
      <c r="J1" s="146"/>
      <c r="K1" s="146"/>
      <c r="L1" s="144"/>
      <c r="M1" s="144"/>
      <c r="N1" s="144"/>
      <c r="O1" s="144"/>
      <c r="P1" s="146"/>
      <c r="Q1" s="146"/>
      <c r="R1" s="144"/>
      <c r="S1" s="144"/>
      <c r="T1" s="144"/>
      <c r="U1" s="144"/>
      <c r="V1" s="146"/>
      <c r="W1" s="146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4"/>
      <c r="AN1" s="4"/>
    </row>
    <row r="2">
      <c r="A2" s="144"/>
      <c r="B2" s="144"/>
      <c r="C2" s="145"/>
      <c r="D2" s="147" t="s">
        <v>79</v>
      </c>
      <c r="H2" s="144"/>
      <c r="I2" s="144"/>
      <c r="J2" s="146"/>
      <c r="K2" s="146"/>
      <c r="L2" s="144"/>
      <c r="M2" s="144"/>
      <c r="N2" s="144"/>
      <c r="O2" s="144"/>
      <c r="P2" s="146"/>
      <c r="Q2" s="146"/>
      <c r="R2" s="144"/>
      <c r="S2" s="144"/>
      <c r="T2" s="144"/>
      <c r="U2" s="144"/>
      <c r="V2" s="146"/>
      <c r="W2" s="146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4"/>
      <c r="AN2" s="4"/>
    </row>
    <row r="3" ht="14.25" customHeight="1">
      <c r="A3" s="144"/>
      <c r="B3" s="144"/>
      <c r="C3" s="145"/>
      <c r="D3" s="149" t="str">
        <f>Prelim!B2</f>
        <v>&lt;Type Campus here&gt;</v>
      </c>
      <c r="H3" s="144"/>
      <c r="I3" s="144"/>
      <c r="J3" s="146"/>
      <c r="K3" s="146"/>
      <c r="L3" s="144"/>
      <c r="M3" s="144"/>
      <c r="N3" s="144"/>
      <c r="O3" s="144"/>
      <c r="P3" s="146"/>
      <c r="Q3" s="146"/>
      <c r="R3" s="144"/>
      <c r="S3" s="144"/>
      <c r="T3" s="144"/>
      <c r="U3" s="144"/>
      <c r="V3" s="146"/>
      <c r="W3" s="146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4"/>
      <c r="AN3" s="4"/>
    </row>
    <row r="4" ht="18.0" customHeight="1">
      <c r="A4" s="144"/>
      <c r="B4" s="144"/>
      <c r="C4" s="145"/>
      <c r="D4" s="151"/>
      <c r="E4" s="144"/>
      <c r="F4" s="144"/>
      <c r="G4" s="144"/>
      <c r="H4" s="144"/>
      <c r="I4" s="144"/>
      <c r="J4" s="146"/>
      <c r="K4" s="146"/>
      <c r="L4" s="144"/>
      <c r="M4" s="144"/>
      <c r="N4" s="144"/>
      <c r="O4" s="144"/>
      <c r="P4" s="146"/>
      <c r="Q4" s="146"/>
      <c r="R4" s="144"/>
      <c r="S4" s="144"/>
      <c r="T4" s="144"/>
      <c r="U4" s="144"/>
      <c r="V4" s="146"/>
      <c r="W4" s="146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4"/>
      <c r="AN4" s="4"/>
    </row>
    <row r="5" ht="28.5" customHeight="1">
      <c r="A5" s="144"/>
      <c r="B5" s="144"/>
      <c r="C5" s="151" t="s">
        <v>80</v>
      </c>
      <c r="E5" s="144"/>
      <c r="F5" s="144"/>
      <c r="G5" s="144"/>
      <c r="H5" s="144"/>
      <c r="I5" s="144"/>
      <c r="J5" s="146"/>
      <c r="K5" s="146"/>
      <c r="L5" s="144"/>
      <c r="M5" s="144"/>
      <c r="N5" s="144"/>
      <c r="O5" s="144"/>
      <c r="P5" s="146"/>
      <c r="Q5" s="146"/>
      <c r="R5" s="144"/>
      <c r="S5" s="144"/>
      <c r="T5" s="144"/>
      <c r="U5" s="144"/>
      <c r="V5" s="146"/>
      <c r="W5" s="146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4"/>
      <c r="AN5" s="4"/>
    </row>
    <row r="6" ht="26.25" customHeight="1">
      <c r="A6" s="144"/>
      <c r="B6" s="144"/>
      <c r="C6" s="153" t="s">
        <v>26</v>
      </c>
      <c r="D6" s="154"/>
      <c r="E6" s="155" t="str">
        <f>Prelim!C5</f>
        <v>&lt;TYPE SEM/SY HERE&gt;</v>
      </c>
      <c r="J6" s="146"/>
      <c r="K6" s="146"/>
      <c r="L6" s="144"/>
      <c r="M6" s="144"/>
      <c r="N6" s="144"/>
      <c r="O6" s="144"/>
      <c r="P6" s="146"/>
      <c r="Q6" s="146"/>
      <c r="R6" s="144"/>
      <c r="S6" s="144"/>
      <c r="T6" s="144"/>
      <c r="U6" s="144"/>
      <c r="V6" s="146"/>
      <c r="W6" s="146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4"/>
      <c r="AN6" s="4"/>
    </row>
    <row r="7" ht="24.0" customHeight="1">
      <c r="A7" s="156"/>
      <c r="B7" s="156"/>
      <c r="C7" s="157" t="s">
        <v>28</v>
      </c>
      <c r="D7" s="3"/>
      <c r="E7" s="158" t="str">
        <f>MConfig!C5</f>
        <v>IS303</v>
      </c>
      <c r="F7" s="2"/>
      <c r="G7" s="2"/>
      <c r="H7" s="2"/>
      <c r="I7" s="2"/>
      <c r="J7" s="2"/>
      <c r="K7" s="2"/>
      <c r="L7" s="2"/>
      <c r="M7" s="3"/>
      <c r="N7" s="159" t="s">
        <v>29</v>
      </c>
      <c r="O7" s="3"/>
      <c r="P7" s="160"/>
      <c r="Q7" s="2"/>
      <c r="R7" s="2"/>
      <c r="S7" s="2"/>
      <c r="T7" s="2"/>
      <c r="U7" s="2"/>
      <c r="V7" s="2"/>
      <c r="W7" s="3"/>
      <c r="X7" s="161"/>
      <c r="Y7" s="161"/>
      <c r="Z7" s="161"/>
      <c r="AA7" s="16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4"/>
      <c r="AN7" s="4"/>
    </row>
    <row r="8" ht="29.25" customHeight="1">
      <c r="A8" s="163"/>
      <c r="B8" s="163"/>
      <c r="C8" s="157" t="s">
        <v>30</v>
      </c>
      <c r="D8" s="3"/>
      <c r="E8" s="158" t="str">
        <f>MConfig!C6</f>
        <v>INFO SEC</v>
      </c>
      <c r="F8" s="2"/>
      <c r="G8" s="2"/>
      <c r="H8" s="2"/>
      <c r="I8" s="2"/>
      <c r="J8" s="2"/>
      <c r="K8" s="2"/>
      <c r="L8" s="2"/>
      <c r="M8" s="3"/>
      <c r="N8" s="159" t="s">
        <v>31</v>
      </c>
      <c r="O8" s="3"/>
      <c r="P8" s="164"/>
      <c r="Q8" s="8"/>
      <c r="R8" s="8"/>
      <c r="S8" s="8"/>
      <c r="T8" s="8"/>
      <c r="U8" s="8"/>
      <c r="V8" s="8"/>
      <c r="W8" s="9"/>
      <c r="X8" s="165"/>
      <c r="Y8" s="165"/>
      <c r="Z8" s="165"/>
      <c r="AA8" s="166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4"/>
      <c r="AN8" s="4"/>
    </row>
    <row r="9" ht="27.75" customHeight="1">
      <c r="A9" s="168"/>
      <c r="B9" s="168"/>
      <c r="C9" s="169" t="s">
        <v>6</v>
      </c>
      <c r="D9" s="3"/>
      <c r="E9" s="170">
        <f>MConfig!C7</f>
        <v>3</v>
      </c>
      <c r="F9" s="2"/>
      <c r="G9" s="2"/>
      <c r="H9" s="2"/>
      <c r="I9" s="2"/>
      <c r="J9" s="2"/>
      <c r="K9" s="2"/>
      <c r="L9" s="2"/>
      <c r="M9" s="3"/>
      <c r="N9" s="171" t="s">
        <v>32</v>
      </c>
      <c r="O9" s="3"/>
      <c r="P9" s="172"/>
      <c r="Q9" s="8"/>
      <c r="R9" s="8"/>
      <c r="S9" s="8"/>
      <c r="T9" s="8"/>
      <c r="U9" s="8"/>
      <c r="V9" s="8"/>
      <c r="W9" s="9"/>
      <c r="X9" s="161"/>
      <c r="Y9" s="161"/>
      <c r="Z9" s="161"/>
      <c r="AA9" s="16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4"/>
      <c r="AN9" s="4"/>
    </row>
    <row r="10" ht="18.0" customHeight="1">
      <c r="A10" s="173"/>
      <c r="B10" s="173"/>
      <c r="C10" s="17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4"/>
      <c r="AN10" s="4"/>
    </row>
    <row r="11" ht="30.75" customHeight="1">
      <c r="A11" s="173"/>
      <c r="B11" s="173"/>
      <c r="C11" s="176" t="s">
        <v>33</v>
      </c>
      <c r="D11" s="72"/>
      <c r="E11" s="65" t="str">
        <f>Prelim!C11</f>
        <v>&lt;TYPE YOUR FULL NAME HERE&gt;</v>
      </c>
      <c r="F11" s="2"/>
      <c r="G11" s="2"/>
      <c r="H11" s="2"/>
      <c r="I11" s="2"/>
      <c r="J11" s="2"/>
      <c r="K11" s="2"/>
      <c r="L11" s="2"/>
      <c r="M11" s="3"/>
      <c r="N11" s="177" t="s">
        <v>35</v>
      </c>
      <c r="Q11" s="6"/>
      <c r="R11" s="178"/>
      <c r="S11" s="8"/>
      <c r="T11" s="8"/>
      <c r="U11" s="8"/>
      <c r="V11" s="8"/>
      <c r="W11" s="9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4"/>
      <c r="AN11" s="4"/>
    </row>
    <row r="12" ht="18.0" customHeight="1">
      <c r="A12" s="173"/>
      <c r="B12" s="173"/>
      <c r="C12" s="68"/>
      <c r="D12" s="9"/>
      <c r="E12" s="179" t="s">
        <v>36</v>
      </c>
      <c r="F12" s="2"/>
      <c r="G12" s="2"/>
      <c r="H12" s="2"/>
      <c r="I12" s="2"/>
      <c r="J12" s="2"/>
      <c r="K12" s="2"/>
      <c r="L12" s="2"/>
      <c r="M12" s="3"/>
      <c r="N12" s="8"/>
      <c r="O12" s="8"/>
      <c r="P12" s="8"/>
      <c r="Q12" s="9"/>
      <c r="R12" s="180" t="s">
        <v>37</v>
      </c>
      <c r="S12" s="8"/>
      <c r="T12" s="8"/>
      <c r="U12" s="8"/>
      <c r="V12" s="8"/>
      <c r="W12" s="9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4"/>
      <c r="AN12" s="4"/>
    </row>
    <row r="13" ht="18.0" customHeight="1">
      <c r="A13" s="173"/>
      <c r="B13" s="173"/>
      <c r="C13" s="181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72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4"/>
      <c r="AN13" s="4"/>
    </row>
    <row r="14" ht="30.75" customHeight="1">
      <c r="A14" s="173"/>
      <c r="B14" s="173"/>
      <c r="C14" s="182"/>
      <c r="D14" s="183" t="s">
        <v>38</v>
      </c>
      <c r="E14" s="184"/>
      <c r="F14" s="185" t="s">
        <v>7</v>
      </c>
      <c r="G14" s="186"/>
      <c r="H14" s="186"/>
      <c r="I14" s="186"/>
      <c r="J14" s="186"/>
      <c r="K14" s="187"/>
      <c r="L14" s="185" t="s">
        <v>9</v>
      </c>
      <c r="M14" s="186"/>
      <c r="N14" s="186"/>
      <c r="O14" s="186"/>
      <c r="P14" s="186"/>
      <c r="Q14" s="187"/>
      <c r="R14" s="185" t="s">
        <v>81</v>
      </c>
      <c r="S14" s="186"/>
      <c r="T14" s="186"/>
      <c r="U14" s="186"/>
      <c r="V14" s="186"/>
      <c r="W14" s="187"/>
      <c r="X14" s="175"/>
      <c r="AM14" s="4"/>
      <c r="AN14" s="4"/>
    </row>
    <row r="15" ht="32.25" customHeight="1">
      <c r="A15" s="173"/>
      <c r="B15" s="173"/>
      <c r="C15" s="188"/>
      <c r="D15" s="189"/>
      <c r="E15" s="190"/>
      <c r="F15" s="191" t="s">
        <v>13</v>
      </c>
      <c r="G15" s="186"/>
      <c r="H15" s="187"/>
      <c r="I15" s="192" t="s">
        <v>82</v>
      </c>
      <c r="J15" s="193" t="s">
        <v>83</v>
      </c>
      <c r="K15" s="193" t="s">
        <v>84</v>
      </c>
      <c r="L15" s="191" t="s">
        <v>13</v>
      </c>
      <c r="M15" s="186"/>
      <c r="N15" s="187"/>
      <c r="O15" s="192" t="s">
        <v>82</v>
      </c>
      <c r="P15" s="193" t="s">
        <v>83</v>
      </c>
      <c r="Q15" s="193" t="s">
        <v>85</v>
      </c>
      <c r="R15" s="191" t="s">
        <v>13</v>
      </c>
      <c r="S15" s="186"/>
      <c r="T15" s="187"/>
      <c r="U15" s="194" t="s">
        <v>77</v>
      </c>
      <c r="V15" s="195" t="s">
        <v>86</v>
      </c>
      <c r="W15" s="195" t="s">
        <v>85</v>
      </c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4"/>
      <c r="AN15" s="4"/>
    </row>
    <row r="16" ht="61.5" customHeight="1">
      <c r="A16" s="173"/>
      <c r="B16" s="173"/>
      <c r="C16" s="197"/>
      <c r="D16" s="198"/>
      <c r="E16" s="199"/>
      <c r="F16" s="200" t="s">
        <v>14</v>
      </c>
      <c r="G16" s="200" t="s">
        <v>15</v>
      </c>
      <c r="H16" s="201" t="s">
        <v>87</v>
      </c>
      <c r="I16" s="197"/>
      <c r="J16" s="197"/>
      <c r="K16" s="197"/>
      <c r="L16" s="200" t="s">
        <v>14</v>
      </c>
      <c r="M16" s="200" t="s">
        <v>88</v>
      </c>
      <c r="N16" s="202" t="s">
        <v>87</v>
      </c>
      <c r="O16" s="197"/>
      <c r="P16" s="197"/>
      <c r="Q16" s="197"/>
      <c r="R16" s="200" t="s">
        <v>14</v>
      </c>
      <c r="S16" s="200" t="s">
        <v>88</v>
      </c>
      <c r="T16" s="203" t="s">
        <v>87</v>
      </c>
      <c r="U16" s="197"/>
      <c r="V16" s="197"/>
      <c r="W16" s="197"/>
      <c r="X16" s="196" t="s">
        <v>89</v>
      </c>
      <c r="Y16" s="196" t="s">
        <v>90</v>
      </c>
      <c r="Z16" s="196" t="s">
        <v>91</v>
      </c>
      <c r="AA16" s="196" t="s">
        <v>92</v>
      </c>
      <c r="AB16" s="196" t="s">
        <v>93</v>
      </c>
      <c r="AC16" s="196" t="s">
        <v>94</v>
      </c>
      <c r="AD16" s="196" t="s">
        <v>95</v>
      </c>
      <c r="AE16" s="196" t="s">
        <v>96</v>
      </c>
      <c r="AF16" s="196" t="s">
        <v>97</v>
      </c>
      <c r="AG16" s="196" t="s">
        <v>98</v>
      </c>
      <c r="AH16" s="196" t="s">
        <v>99</v>
      </c>
      <c r="AI16" s="196" t="s">
        <v>100</v>
      </c>
      <c r="AJ16" s="196" t="s">
        <v>101</v>
      </c>
      <c r="AK16" s="196" t="s">
        <v>102</v>
      </c>
      <c r="AL16" s="196" t="s">
        <v>103</v>
      </c>
      <c r="AM16" s="4"/>
      <c r="AN16" s="4"/>
    </row>
    <row r="17" ht="26.25" hidden="1" customHeight="1">
      <c r="A17" s="204"/>
      <c r="B17" s="204"/>
      <c r="C17" s="205"/>
      <c r="D17" s="206"/>
      <c r="E17" s="206"/>
      <c r="F17" s="207"/>
      <c r="G17" s="207"/>
      <c r="H17" s="208"/>
      <c r="I17" s="209"/>
      <c r="J17" s="210"/>
      <c r="K17" s="210"/>
      <c r="L17" s="207"/>
      <c r="M17" s="207"/>
      <c r="N17" s="208"/>
      <c r="O17" s="211"/>
      <c r="P17" s="210"/>
      <c r="Q17" s="212"/>
      <c r="R17" s="207"/>
      <c r="S17" s="207"/>
      <c r="T17" s="207"/>
      <c r="U17" s="213"/>
      <c r="V17" s="214"/>
      <c r="W17" s="215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7"/>
      <c r="AN17" s="217"/>
    </row>
    <row r="18" ht="26.25" hidden="1" customHeight="1">
      <c r="A18" s="204"/>
      <c r="B18" s="204"/>
      <c r="C18" s="218"/>
      <c r="D18" s="219"/>
      <c r="E18" s="219"/>
      <c r="F18" s="220"/>
      <c r="G18" s="220"/>
      <c r="H18" s="221"/>
      <c r="I18" s="222"/>
      <c r="J18" s="223"/>
      <c r="K18" s="223"/>
      <c r="L18" s="220"/>
      <c r="M18" s="220"/>
      <c r="N18" s="221"/>
      <c r="O18" s="211"/>
      <c r="P18" s="223"/>
      <c r="Q18" s="224"/>
      <c r="R18" s="220"/>
      <c r="S18" s="220"/>
      <c r="T18" s="220"/>
      <c r="U18" s="213"/>
      <c r="V18" s="214"/>
      <c r="W18" s="215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7"/>
      <c r="AN18" s="217"/>
    </row>
    <row r="19" ht="26.25" hidden="1" customHeight="1">
      <c r="A19" s="204"/>
      <c r="B19" s="204"/>
      <c r="C19" s="218"/>
      <c r="D19" s="219"/>
      <c r="E19" s="219"/>
      <c r="F19" s="220"/>
      <c r="G19" s="220"/>
      <c r="H19" s="221"/>
      <c r="I19" s="222"/>
      <c r="J19" s="223"/>
      <c r="K19" s="223"/>
      <c r="L19" s="220"/>
      <c r="M19" s="220"/>
      <c r="N19" s="221"/>
      <c r="O19" s="211"/>
      <c r="P19" s="223"/>
      <c r="Q19" s="224"/>
      <c r="R19" s="220"/>
      <c r="S19" s="220"/>
      <c r="T19" s="220"/>
      <c r="U19" s="213"/>
      <c r="V19" s="214"/>
      <c r="W19" s="215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7"/>
      <c r="AN19" s="217"/>
    </row>
    <row r="20" ht="26.25" customHeight="1">
      <c r="A20" s="225"/>
      <c r="B20" s="225"/>
      <c r="C20" s="226">
        <v>1.0</v>
      </c>
      <c r="D20" s="227" t="str">
        <f>Prelim!$B20</f>
        <v>AAAA</v>
      </c>
      <c r="E20" s="228"/>
      <c r="F20" s="229">
        <f t="shared" ref="F20:F74" si="1">round(iferror(AVERAGE(X20:AB20),),0)</f>
        <v>63</v>
      </c>
      <c r="G20" s="229">
        <f>round(iferror((AVERAGE(Prelim!H20:K20)*MConfig!$D$15),)+iferror((average(Prelim!L20:O20)*MConfig!$D$16),)+iferror((average(Prelim!P20:S20)*MConfig!$D$17),),0)</f>
        <v>82</v>
      </c>
      <c r="H20" s="229">
        <f>round(sum(F20*MConfig!$E$13)+(G20*MConfig!$E$14),0)</f>
        <v>74</v>
      </c>
      <c r="I20" s="229">
        <f>  if(Prelim!T20="",,  (round(sum((Prelim!T20/Prelim!$T$19)*50)+50,0)))</f>
        <v>93</v>
      </c>
      <c r="J20" s="230">
        <f>IF(I20="",,round(SUM((H20*MConfig!$F$12)+(I20*MConfig!$F$11)),0))</f>
        <v>82</v>
      </c>
      <c r="K20" s="231">
        <f>IFNA(IF(Prelim!U20="DRP","DRP",vlookup(J20,MConfig!$B$25:$C$33,2)),"")</f>
        <v>2.5</v>
      </c>
      <c r="L20" s="229">
        <f t="shared" ref="L20:L74" si="2">round(iferror(AVERAGE(AC20:AG20),),0)</f>
        <v>100</v>
      </c>
      <c r="M20" s="229">
        <f>round(iferror((AVERAGE(Midterm!H20:K20)*MConfig!$G$15),)+iferror((average(Midterm!L20:O20)*MConfig!$G$16),)+iferror((average(Midterm!P20:S20)*MConfig!$G$17),),0)</f>
        <v>87</v>
      </c>
      <c r="N20" s="232">
        <f>round(SUM(L20*MConfig!$H$13)+(M20*MConfig!$H$14),0)</f>
        <v>92</v>
      </c>
      <c r="O20" s="232">
        <f>IF(Midterm!T20="",, (round(sum((Midterm!T20/Midterm!$T$19)*50)+50,0)))</f>
        <v>88</v>
      </c>
      <c r="P20" s="230">
        <f>IF(O20="",,round(SUM((N20*MConfig!$I$12)+(O20*MConfig!$I$11)),0))</f>
        <v>90</v>
      </c>
      <c r="Q20" s="233">
        <f>IFNA(IF(Midterm!U20="DRP","DRP",vlookup(P20,MConfig!$B$25:$C$33,2)),"")</f>
        <v>1.75</v>
      </c>
      <c r="R20" s="234">
        <f t="shared" ref="R20:R74" si="3">round(iferror(AVERAGE(AH20:AL20),),0)</f>
        <v>75</v>
      </c>
      <c r="S20" s="234">
        <f>round(iferror((AVERAGE(PreFinal!H20:K20)*MConfig!$J$15),)+iferror((average(PreFinal!L20:O20)*MConfig!$J$16),)+iferror((average(PreFinal!P20:S20)*MConfig!$J$17),)+((PreFinal!T20)*MConfig!$J$18),0)</f>
        <v>81</v>
      </c>
      <c r="T20" s="234">
        <f>ROUND(SUM(R20*MConfig!$K$13)+(S20*MConfig!$K$14),0)</f>
        <v>79</v>
      </c>
      <c r="U20" s="229">
        <f>IF(PreFinal!U20="",,(round(sum((PreFinal!U20/PreFinal!$U$19)*50)+50,0)))</f>
        <v>97</v>
      </c>
      <c r="V20" s="230">
        <f t="shared" ref="V20:V74" si="4">if(U20="",,round(sum((J20+P20+T20+U20)/4),0))</f>
        <v>87</v>
      </c>
      <c r="W20" s="233">
        <f>IFNA(IF(PreFinal!V20="DRP","DRP",vlookup(V20,MConfig!$B$25:$C$33,2)),"")</f>
        <v>2</v>
      </c>
      <c r="X20" s="216">
        <f>IF(Prelim!C20="",,(round((sum((Prelim!C20/Prelim!$C$19)*50)+50),0)))</f>
        <v>67</v>
      </c>
      <c r="Y20" s="216">
        <f>IF(Prelim!D20="",,(round((sum((Prelim!D20/Prelim!$D$19)*50)+50),0)))</f>
        <v>76</v>
      </c>
      <c r="Z20" s="216">
        <f>IF(Prelim!E20="",,round((sum((Prelim!E20/Prelim!$E$19)*50)+50),0))</f>
        <v>73</v>
      </c>
      <c r="AA20" s="216">
        <f>IF(Prelim!F20="",,(round((sum((Prelim!F20/Prelim!$F$19)*50)+50),0)))</f>
        <v>50</v>
      </c>
      <c r="AB20" s="216">
        <f>IF(Prelim!G20="",,(round((sum((Prelim!G20/Prelim!$G$19)*50)+50),0)))</f>
        <v>50</v>
      </c>
      <c r="AC20" s="216">
        <f>IF(Midterm!C20="",,(round((sum((Midterm!C20/Midterm!$C$19)*50)+50),0)))</f>
        <v>100</v>
      </c>
      <c r="AD20" s="216">
        <f>IF(Midterm!D20="",,(round((sum((Midterm!D20/Midterm!$D$19)*50)+50),0)))</f>
        <v>100</v>
      </c>
      <c r="AE20" s="216">
        <f>IF(Midterm!E20="",,(round((sum((Midterm!E20/Midterm!$E$19)*50)+50),0)))</f>
        <v>100</v>
      </c>
      <c r="AF20" s="216">
        <f>IF(Midterm!F20="",,(round((sum((Midterm!F20/Midterm!$F$19)*50)+50),0)))</f>
        <v>100</v>
      </c>
      <c r="AG20" s="216">
        <f>IF(Midterm!G20="",,(round((sum((Midterm!G20/Midterm!$G$19)*50)+50),0)))</f>
        <v>100</v>
      </c>
      <c r="AH20" s="216">
        <f>IF(PreFinal!C20="",,(round((sum((PreFinal!C20/PreFinal!$C$19)*50)+50),0)))</f>
        <v>75</v>
      </c>
      <c r="AI20" s="216">
        <f>IF(PreFinal!D20="",,(round((sum((PreFinal!D20/PreFinal!$D$19)*50)+50),0)))</f>
        <v>75</v>
      </c>
      <c r="AJ20" s="216">
        <f>IF(PreFinal!E20="",,(round((sum((PreFinal!E20/PreFinal!$E$19)*50)+50),0)))</f>
        <v>75</v>
      </c>
      <c r="AK20" s="216">
        <f>IF(PreFinal!F20="",,(round((sum((PreFinal!F20/PreFinal!$F$19)*50)+50),0)))</f>
        <v>75</v>
      </c>
      <c r="AL20" s="216">
        <f>IF(PreFinal!G20="",,(round((sum((PreFinal!G20/PreFinal!$G$19)*50)+50),0)))</f>
        <v>75</v>
      </c>
      <c r="AM20" s="217"/>
      <c r="AN20" s="217"/>
    </row>
    <row r="21" ht="26.25" customHeight="1">
      <c r="A21" s="225"/>
      <c r="B21" s="225"/>
      <c r="C21" s="226">
        <v>2.0</v>
      </c>
      <c r="D21" s="227" t="str">
        <f>Prelim!$B21</f>
        <v>BBBBB</v>
      </c>
      <c r="E21" s="228"/>
      <c r="F21" s="229">
        <f t="shared" si="1"/>
        <v>69</v>
      </c>
      <c r="G21" s="229">
        <f>round(iferror((AVERAGE(Prelim!H21:K21)*MConfig!$D$15),)+iferror((average(Prelim!L21:O21)*MConfig!$D$16),)+iferror((average(Prelim!P21:S21)*MConfig!$D$17),),0)</f>
        <v>82</v>
      </c>
      <c r="H21" s="229">
        <f>round(sum(F21*MConfig!$E$13)+(G21*MConfig!$E$14),0)</f>
        <v>77</v>
      </c>
      <c r="I21" s="229">
        <f>  if(Prelim!T21="",,  (round(sum((Prelim!T21/Prelim!$T$19)*50)+50,0)))</f>
        <v>88</v>
      </c>
      <c r="J21" s="230">
        <f>IF(I21="",,round(SUM((H21*MConfig!$F$12)+(I21*MConfig!$F$11)),0))</f>
        <v>81</v>
      </c>
      <c r="K21" s="231">
        <f>IFNA(IF(Prelim!U21="DRP","DRP",vlookup(J21,MConfig!$B$25:$C$33,2)),"")</f>
        <v>2.5</v>
      </c>
      <c r="L21" s="229">
        <f t="shared" si="2"/>
        <v>83</v>
      </c>
      <c r="M21" s="229">
        <f>round(iferror((AVERAGE(Midterm!H21:K21)*MConfig!$G$15),)+iferror((average(Midterm!L21:O21)*MConfig!$G$16),)+iferror((average(Midterm!P21:S21)*MConfig!$G$17),),0)</f>
        <v>0</v>
      </c>
      <c r="N21" s="232">
        <f>round(SUM(L21*MConfig!$H$13)+(M21*MConfig!$H$14),0)</f>
        <v>33</v>
      </c>
      <c r="O21" s="232" t="str">
        <f>IF(Midterm!T21="",, (round(sum((Midterm!T21/Midterm!$T$19)*50)+50,0)))</f>
        <v/>
      </c>
      <c r="P21" s="230" t="str">
        <f>IF(O21="",,round(SUM((N21*MConfig!$I$12)+(O21*MConfig!$I$11)),0))</f>
        <v/>
      </c>
      <c r="Q21" s="233" t="str">
        <f>IFNA(IF(Midterm!U21="DRP","DRP",vlookup(P21,MConfig!$B$25:$C$33,2)),"")</f>
        <v/>
      </c>
      <c r="R21" s="234">
        <f t="shared" si="3"/>
        <v>0</v>
      </c>
      <c r="S21" s="234">
        <f>round(iferror((AVERAGE(PreFinal!H21:K21)*MConfig!$J$15),)+iferror((average(PreFinal!L21:O21)*MConfig!$J$16),)+iferror((average(PreFinal!P21:S21)*MConfig!$J$17),)+((PreFinal!T21)*MConfig!$J$18),0)</f>
        <v>0</v>
      </c>
      <c r="T21" s="234">
        <f>ROUND(SUM(R21*MConfig!$K$13)+(S21*MConfig!$K$14),0)</f>
        <v>0</v>
      </c>
      <c r="U21" s="229" t="str">
        <f>IF(PreFinal!U21="",,(round(sum((PreFinal!U21/PreFinal!$U$19)*50)+50,0)))</f>
        <v/>
      </c>
      <c r="V21" s="230" t="str">
        <f t="shared" si="4"/>
        <v/>
      </c>
      <c r="W21" s="233" t="str">
        <f>IFNA(IF(PreFinal!V21="DRP","DRP",vlookup(V21,MConfig!$B$25:$C$33,2)),"")</f>
        <v/>
      </c>
      <c r="X21" s="216">
        <f>IF(Prelim!C21="",,(round((sum((Prelim!C21/Prelim!$C$19)*50)+50),0)))</f>
        <v>58</v>
      </c>
      <c r="Y21" s="216">
        <f>IF(Prelim!D21="",,(round((sum((Prelim!D21/Prelim!$D$19)*50)+50),0)))</f>
        <v>67</v>
      </c>
      <c r="Z21" s="216">
        <f>IF(Prelim!E21="",,round((sum((Prelim!E21/Prelim!$E$19)*50)+50),0))</f>
        <v>83</v>
      </c>
      <c r="AA21" s="216">
        <f>IF(Prelim!F21="",,(round((sum((Prelim!F21/Prelim!$F$19)*50)+50),0)))</f>
        <v>63</v>
      </c>
      <c r="AB21" s="216">
        <f>IF(Prelim!G21="",,(round((sum((Prelim!G21/Prelim!$G$19)*50)+50),0)))</f>
        <v>75</v>
      </c>
      <c r="AC21" s="216">
        <f>IF(Midterm!C21="",,(round((sum((Midterm!C21/Midterm!$C$19)*50)+50),0)))</f>
        <v>75</v>
      </c>
      <c r="AD21" s="216">
        <f>IF(Midterm!D21="",,(round((sum((Midterm!D21/Midterm!$D$19)*50)+50),0)))</f>
        <v>75</v>
      </c>
      <c r="AE21" s="216">
        <f>IF(Midterm!E21="",,(round((sum((Midterm!E21/Midterm!$E$19)*50)+50),0)))</f>
        <v>77</v>
      </c>
      <c r="AF21" s="216">
        <f>IF(Midterm!F21="",,(round((sum((Midterm!F21/Midterm!$F$19)*50)+50),0)))</f>
        <v>103</v>
      </c>
      <c r="AG21" s="216" t="str">
        <f>IF(Midterm!G21="",,(round((sum((Midterm!G21/Midterm!$G$19)*50)+50),0)))</f>
        <v/>
      </c>
      <c r="AH21" s="216" t="str">
        <f>IF(PreFinal!C21="",,(round((sum((PreFinal!C21/PreFinal!$C$19)*50)+50),0)))</f>
        <v/>
      </c>
      <c r="AI21" s="216" t="str">
        <f>IF(PreFinal!D21="",,(round((sum((PreFinal!D21/PreFinal!$D$19)*50)+50),0)))</f>
        <v/>
      </c>
      <c r="AJ21" s="216" t="str">
        <f>IF(PreFinal!E21="",,(round((sum((PreFinal!E21/PreFinal!$E$19)*50)+50),0)))</f>
        <v/>
      </c>
      <c r="AK21" s="216" t="str">
        <f>IF(PreFinal!F21="",,(round((sum((PreFinal!F21/PreFinal!$F$19)*50)+50),0)))</f>
        <v/>
      </c>
      <c r="AL21" s="216" t="str">
        <f>IF(PreFinal!G21="",,(round((sum((PreFinal!G21/PreFinal!$G$19)*50)+50),0)))</f>
        <v/>
      </c>
      <c r="AM21" s="217"/>
      <c r="AN21" s="4"/>
    </row>
    <row r="22" ht="26.25" customHeight="1">
      <c r="A22" s="225"/>
      <c r="B22" s="225"/>
      <c r="C22" s="226">
        <v>3.0</v>
      </c>
      <c r="D22" s="227" t="str">
        <f>Prelim!$B22</f>
        <v>**** NONE FOLLOWS**</v>
      </c>
      <c r="E22" s="228"/>
      <c r="F22" s="229">
        <f t="shared" si="1"/>
        <v>0</v>
      </c>
      <c r="G22" s="229">
        <f>round(iferror((AVERAGE(Prelim!H22:K22)*MConfig!$D$15),)+iferror((average(Prelim!L22:O22)*MConfig!$D$16),)+iferror((average(Prelim!P22:S22)*MConfig!$D$17),),0)</f>
        <v>0</v>
      </c>
      <c r="H22" s="229">
        <f>round(sum(F22*MConfig!$E$13)+(G22*MConfig!$E$14),0)</f>
        <v>0</v>
      </c>
      <c r="I22" s="229" t="str">
        <f>  if(Prelim!T22="",,  (round(sum((Prelim!T22/Prelim!$T$19)*50)+50,0)))</f>
        <v/>
      </c>
      <c r="J22" s="230" t="str">
        <f>IF(I22="",,round(SUM((H22*MConfig!$F$12)+(I22*MConfig!$F$11)),0))</f>
        <v/>
      </c>
      <c r="K22" s="231" t="str">
        <f>IFNA(IF(Prelim!U22="DRP","DRP",vlookup(J22,MConfig!$B$25:$C$33,2)),"")</f>
        <v/>
      </c>
      <c r="L22" s="229">
        <f t="shared" si="2"/>
        <v>0</v>
      </c>
      <c r="M22" s="229">
        <f>round(iferror((AVERAGE(Midterm!H22:K22)*MConfig!$G$15),)+iferror((average(Midterm!L22:O22)*MConfig!$G$16),)+iferror((average(Midterm!P22:S22)*MConfig!$G$17),),0)</f>
        <v>0</v>
      </c>
      <c r="N22" s="232">
        <f>round(SUM(L22*MConfig!$H$13)+(M22*MConfig!$H$14),0)</f>
        <v>0</v>
      </c>
      <c r="O22" s="232" t="str">
        <f>IF(Midterm!T22="",, (round(sum((Midterm!T22/Midterm!$T$19)*50)+50,0)))</f>
        <v/>
      </c>
      <c r="P22" s="230" t="str">
        <f>IF(O22="",,round(SUM((N22*MConfig!$I$12)+(O22*MConfig!$I$11)),0))</f>
        <v/>
      </c>
      <c r="Q22" s="233" t="str">
        <f>IFNA(IF(Midterm!U22="DRP","DRP",vlookup(P22,MConfig!$B$25:$C$33,2)),"")</f>
        <v/>
      </c>
      <c r="R22" s="234">
        <f t="shared" si="3"/>
        <v>0</v>
      </c>
      <c r="S22" s="234">
        <f>round(iferror((AVERAGE(PreFinal!H22:K22)*MConfig!$J$15),)+iferror((average(PreFinal!L22:O22)*MConfig!$J$16),)+iferror((average(PreFinal!P22:S22)*MConfig!$J$17),)+((PreFinal!T22)*MConfig!$J$18),0)</f>
        <v>0</v>
      </c>
      <c r="T22" s="234">
        <f>ROUND(SUM(R22*MConfig!$K$13)+(S22*MConfig!$K$14),0)</f>
        <v>0</v>
      </c>
      <c r="U22" s="229" t="str">
        <f>IF(PreFinal!U22="",,(round(sum((PreFinal!U22/PreFinal!$U$19)*50)+50,0)))</f>
        <v/>
      </c>
      <c r="V22" s="230" t="str">
        <f t="shared" si="4"/>
        <v/>
      </c>
      <c r="W22" s="233" t="str">
        <f>IFNA(IF(PreFinal!V22="DRP","DRP",vlookup(V22,MConfig!$B$25:$C$33,2)),"")</f>
        <v/>
      </c>
      <c r="X22" s="216" t="str">
        <f>IF(Prelim!C22="",,(round((sum((Prelim!C22/Prelim!$C$19)*50)+50),0)))</f>
        <v/>
      </c>
      <c r="Y22" s="216" t="str">
        <f>IF(Prelim!D22="",,(round((sum((Prelim!D22/Prelim!$D$19)*50)+50),0)))</f>
        <v/>
      </c>
      <c r="Z22" s="216" t="str">
        <f>IF(Prelim!E22="",,round((sum((Prelim!E22/Prelim!$E$19)*50)+50),0))</f>
        <v/>
      </c>
      <c r="AA22" s="216" t="str">
        <f>IF(Prelim!F22="",,(round((sum((Prelim!F22/Prelim!$F$19)*50)+50),0)))</f>
        <v/>
      </c>
      <c r="AB22" s="216" t="str">
        <f>IF(Prelim!G22="",,(round((sum((Prelim!G22/Prelim!$G$19)*50)+50),0)))</f>
        <v/>
      </c>
      <c r="AC22" s="216" t="str">
        <f>IF(Midterm!C22="",,(round((sum((Midterm!C22/Midterm!$C$19)*50)+50),0)))</f>
        <v/>
      </c>
      <c r="AD22" s="216" t="str">
        <f>IF(Midterm!D22="",,(round((sum((Midterm!D22/Midterm!$D$19)*50)+50),0)))</f>
        <v/>
      </c>
      <c r="AE22" s="216" t="str">
        <f>IF(Midterm!E22="",,(round((sum((Midterm!E22/Midterm!$E$19)*50)+50),0)))</f>
        <v/>
      </c>
      <c r="AF22" s="216" t="str">
        <f>IF(Midterm!F22="",,(round((sum((Midterm!F22/Midterm!$F$19)*50)+50),0)))</f>
        <v/>
      </c>
      <c r="AG22" s="216" t="str">
        <f>IF(Midterm!G22="",,(round((sum((Midterm!G22/Midterm!$G$19)*50)+50),0)))</f>
        <v/>
      </c>
      <c r="AH22" s="216" t="str">
        <f>IF(PreFinal!C22="",,(round((sum((PreFinal!C22/PreFinal!$C$19)*50)+50),0)))</f>
        <v/>
      </c>
      <c r="AI22" s="216" t="str">
        <f>IF(PreFinal!D22="",,(round((sum((PreFinal!D22/PreFinal!$D$19)*50)+50),0)))</f>
        <v/>
      </c>
      <c r="AJ22" s="216" t="str">
        <f>IF(PreFinal!E22="",,(round((sum((PreFinal!E22/PreFinal!$E$19)*50)+50),0)))</f>
        <v/>
      </c>
      <c r="AK22" s="216" t="str">
        <f>IF(PreFinal!F22="",,(round((sum((PreFinal!F22/PreFinal!$F$19)*50)+50),0)))</f>
        <v/>
      </c>
      <c r="AL22" s="216" t="str">
        <f>IF(PreFinal!G22="",,(round((sum((PreFinal!G22/PreFinal!$G$19)*50)+50),0)))</f>
        <v/>
      </c>
      <c r="AM22" s="217"/>
      <c r="AN22" s="4"/>
    </row>
    <row r="23" ht="26.25" customHeight="1">
      <c r="A23" s="225"/>
      <c r="B23" s="225"/>
      <c r="C23" s="226">
        <v>4.0</v>
      </c>
      <c r="D23" s="227" t="str">
        <f>Prelim!$B23</f>
        <v/>
      </c>
      <c r="E23" s="228"/>
      <c r="F23" s="229">
        <f t="shared" si="1"/>
        <v>0</v>
      </c>
      <c r="G23" s="229">
        <f>round(iferror((AVERAGE(Prelim!H23:K23)*MConfig!$D$15),)+iferror((average(Prelim!L23:O23)*MConfig!$D$16),)+iferror((average(Prelim!P23:S23)*MConfig!$D$17),),0)</f>
        <v>0</v>
      </c>
      <c r="H23" s="229">
        <f>round(sum(F23*MConfig!$E$13)+(G23*MConfig!$E$14),0)</f>
        <v>0</v>
      </c>
      <c r="I23" s="229" t="str">
        <f>  if(Prelim!T23="",,  (round(sum((Prelim!T23/Prelim!$T$19)*50)+50,0)))</f>
        <v/>
      </c>
      <c r="J23" s="230" t="str">
        <f>IF(I23="",,round(SUM((H23*MConfig!$F$12)+(I23*MConfig!$F$11)),0))</f>
        <v/>
      </c>
      <c r="K23" s="231" t="str">
        <f>IFNA(IF(Prelim!U23="DRP","DRP",vlookup(J23,MConfig!$B$25:$C$33,2)),"")</f>
        <v/>
      </c>
      <c r="L23" s="229">
        <f t="shared" si="2"/>
        <v>0</v>
      </c>
      <c r="M23" s="229">
        <f>round(iferror((AVERAGE(Midterm!H23:K23)*MConfig!$G$15),)+iferror((average(Midterm!L23:O23)*MConfig!$G$16),)+iferror((average(Midterm!P23:S23)*MConfig!$G$17),),0)</f>
        <v>0</v>
      </c>
      <c r="N23" s="232">
        <f>round(SUM(L23*MConfig!$H$13)+(M23*MConfig!$H$14),0)</f>
        <v>0</v>
      </c>
      <c r="O23" s="232" t="str">
        <f>IF(Midterm!T23="",, (round(sum((Midterm!T23/Midterm!$T$19)*50)+50,0)))</f>
        <v/>
      </c>
      <c r="P23" s="230" t="str">
        <f>IF(O23="",,round(SUM((N23*MConfig!$I$12)+(O23*MConfig!$I$11)),0))</f>
        <v/>
      </c>
      <c r="Q23" s="233" t="str">
        <f>IFNA(IF(Midterm!U23="DRP","DRP",vlookup(P23,MConfig!$B$25:$C$33,2)),"")</f>
        <v/>
      </c>
      <c r="R23" s="234">
        <f t="shared" si="3"/>
        <v>0</v>
      </c>
      <c r="S23" s="234">
        <f>round(iferror((AVERAGE(PreFinal!H23:K23)*MConfig!$J$15),)+iferror((average(PreFinal!L23:O23)*MConfig!$J$16),)+iferror((average(PreFinal!P23:S23)*MConfig!$J$17),)+((PreFinal!T23)*MConfig!$J$18),0)</f>
        <v>0</v>
      </c>
      <c r="T23" s="234">
        <f>ROUND(SUM(R23*MConfig!$K$13)+(S23*MConfig!$K$14),0)</f>
        <v>0</v>
      </c>
      <c r="U23" s="229" t="str">
        <f>IF(PreFinal!U23="",,(round(sum((PreFinal!U23/PreFinal!$U$19)*50)+50,0)))</f>
        <v/>
      </c>
      <c r="V23" s="230" t="str">
        <f t="shared" si="4"/>
        <v/>
      </c>
      <c r="W23" s="233" t="str">
        <f>IFNA(IF(PreFinal!V23="DRP","DRP",vlookup(V23,MConfig!$B$25:$C$33,2)),"")</f>
        <v/>
      </c>
      <c r="X23" s="216" t="str">
        <f>IF(Prelim!C23="",,(round((sum((Prelim!C23/Prelim!$C$19)*50)+50),0)))</f>
        <v/>
      </c>
      <c r="Y23" s="216" t="str">
        <f>IF(Prelim!D23="",,(round((sum((Prelim!D23/Prelim!$D$19)*50)+50),0)))</f>
        <v/>
      </c>
      <c r="Z23" s="216" t="str">
        <f>IF(Prelim!E23="",,round((sum((Prelim!E23/Prelim!$E$19)*50)+50),0))</f>
        <v/>
      </c>
      <c r="AA23" s="216" t="str">
        <f>IF(Prelim!F23="",,(round((sum((Prelim!F23/Prelim!$F$19)*50)+50),0)))</f>
        <v/>
      </c>
      <c r="AB23" s="216" t="str">
        <f>IF(Prelim!G23="",,(round((sum((Prelim!G23/Prelim!$G$19)*50)+50),0)))</f>
        <v/>
      </c>
      <c r="AC23" s="216" t="str">
        <f>IF(Midterm!C23="",,(round((sum((Midterm!C23/Midterm!$C$19)*50)+50),0)))</f>
        <v/>
      </c>
      <c r="AD23" s="216" t="str">
        <f>IF(Midterm!D23="",,(round((sum((Midterm!D23/Midterm!$D$19)*50)+50),0)))</f>
        <v/>
      </c>
      <c r="AE23" s="216" t="str">
        <f>IF(Midterm!E23="",,(round((sum((Midterm!E23/Midterm!$E$19)*50)+50),0)))</f>
        <v/>
      </c>
      <c r="AF23" s="216" t="str">
        <f>IF(Midterm!F23="",,(round((sum((Midterm!F23/Midterm!$F$19)*50)+50),0)))</f>
        <v/>
      </c>
      <c r="AG23" s="216" t="str">
        <f>IF(Midterm!G23="",,(round((sum((Midterm!G23/Midterm!$G$19)*50)+50),0)))</f>
        <v/>
      </c>
      <c r="AH23" s="216" t="str">
        <f>IF(PreFinal!C23="",,(round((sum((PreFinal!C23/PreFinal!$C$19)*50)+50),0)))</f>
        <v/>
      </c>
      <c r="AI23" s="216" t="str">
        <f>IF(PreFinal!D23="",,(round((sum((PreFinal!D23/PreFinal!$D$19)*50)+50),0)))</f>
        <v/>
      </c>
      <c r="AJ23" s="216" t="str">
        <f>IF(PreFinal!E23="",,(round((sum((PreFinal!E23/PreFinal!$E$19)*50)+50),0)))</f>
        <v/>
      </c>
      <c r="AK23" s="216" t="str">
        <f>IF(PreFinal!F23="",,(round((sum((PreFinal!F23/PreFinal!$F$19)*50)+50),0)))</f>
        <v/>
      </c>
      <c r="AL23" s="216" t="str">
        <f>IF(PreFinal!G23="",,(round((sum((PreFinal!G23/PreFinal!$G$19)*50)+50),0)))</f>
        <v/>
      </c>
      <c r="AM23" s="217"/>
      <c r="AN23" s="4"/>
    </row>
    <row r="24" ht="26.25" customHeight="1">
      <c r="A24" s="225"/>
      <c r="B24" s="225"/>
      <c r="C24" s="226">
        <v>5.0</v>
      </c>
      <c r="D24" s="227" t="str">
        <f>Prelim!$B24</f>
        <v/>
      </c>
      <c r="E24" s="228"/>
      <c r="F24" s="229">
        <f t="shared" si="1"/>
        <v>0</v>
      </c>
      <c r="G24" s="229">
        <f>round(iferror((AVERAGE(Prelim!H24:K24)*MConfig!$D$15),)+iferror((average(Prelim!L24:O24)*MConfig!$D$16),)+iferror((average(Prelim!P24:S24)*MConfig!$D$17),),0)</f>
        <v>0</v>
      </c>
      <c r="H24" s="229">
        <f>round(sum(F24*MConfig!$E$13)+(G24*MConfig!$E$14),0)</f>
        <v>0</v>
      </c>
      <c r="I24" s="229" t="str">
        <f>  if(Prelim!T24="",,  (round(sum((Prelim!T24/Prelim!$T$19)*50)+50,0)))</f>
        <v/>
      </c>
      <c r="J24" s="230" t="str">
        <f>IF(I24="",,round(SUM((H24*MConfig!$F$12)+(I24*MConfig!$F$11)),0))</f>
        <v/>
      </c>
      <c r="K24" s="231" t="str">
        <f>IFNA(IF(Prelim!U24="DRP","DRP",vlookup(J24,MConfig!$B$25:$C$33,2)),"")</f>
        <v/>
      </c>
      <c r="L24" s="229">
        <f t="shared" si="2"/>
        <v>0</v>
      </c>
      <c r="M24" s="229">
        <f>round(iferror((AVERAGE(Midterm!H24:K24)*MConfig!$G$15),)+iferror((average(Midterm!L24:O24)*MConfig!$G$16),)+iferror((average(Midterm!P24:S24)*MConfig!$G$17),),0)</f>
        <v>0</v>
      </c>
      <c r="N24" s="232">
        <f>round(SUM(L24*MConfig!$H$13)+(M24*MConfig!$H$14),0)</f>
        <v>0</v>
      </c>
      <c r="O24" s="232" t="str">
        <f>IF(Midterm!T24="",, (round(sum((Midterm!T24/Midterm!$T$19)*50)+50,0)))</f>
        <v/>
      </c>
      <c r="P24" s="230" t="str">
        <f>IF(O24="",,round(SUM((N24*MConfig!$I$12)+(O24*MConfig!$I$11)),0))</f>
        <v/>
      </c>
      <c r="Q24" s="233" t="str">
        <f>IFNA(IF(Midterm!U24="DRP","DRP",vlookup(P24,MConfig!$B$25:$C$33,2)),"")</f>
        <v/>
      </c>
      <c r="R24" s="234">
        <f t="shared" si="3"/>
        <v>0</v>
      </c>
      <c r="S24" s="234">
        <f>round(iferror((AVERAGE(PreFinal!H24:K24)*MConfig!$J$15),)+iferror((average(PreFinal!L24:O24)*MConfig!$J$16),)+iferror((average(PreFinal!P24:S24)*MConfig!$J$17),)+((PreFinal!T24)*MConfig!$J$18),0)</f>
        <v>0</v>
      </c>
      <c r="T24" s="234">
        <f>ROUND(SUM(R24*MConfig!$K$13)+(S24*MConfig!$K$14),0)</f>
        <v>0</v>
      </c>
      <c r="U24" s="229" t="str">
        <f>IF(PreFinal!U24="",,(round(sum((PreFinal!U24/PreFinal!$U$19)*50)+50,0)))</f>
        <v/>
      </c>
      <c r="V24" s="230" t="str">
        <f t="shared" si="4"/>
        <v/>
      </c>
      <c r="W24" s="233" t="str">
        <f>IFNA(IF(PreFinal!V24="DRP","DRP",vlookup(V24,MConfig!$B$25:$C$33,2)),"")</f>
        <v/>
      </c>
      <c r="X24" s="216" t="str">
        <f>IF(Prelim!C24="",,(round((sum((Prelim!C24/Prelim!$C$19)*50)+50),0)))</f>
        <v/>
      </c>
      <c r="Y24" s="216" t="str">
        <f>IF(Prelim!D24="",,(round((sum((Prelim!D24/Prelim!$D$19)*50)+50),0)))</f>
        <v/>
      </c>
      <c r="Z24" s="216" t="str">
        <f>IF(Prelim!E24="",,round((sum((Prelim!E24/Prelim!$E$19)*50)+50),0))</f>
        <v/>
      </c>
      <c r="AA24" s="216" t="str">
        <f>IF(Prelim!F24="",,(round((sum((Prelim!F24/Prelim!$F$19)*50)+50),0)))</f>
        <v/>
      </c>
      <c r="AB24" s="216" t="str">
        <f>IF(Prelim!G24="",,(round((sum((Prelim!G24/Prelim!$G$19)*50)+50),0)))</f>
        <v/>
      </c>
      <c r="AC24" s="216" t="str">
        <f>IF(Midterm!C24="",,(round((sum((Midterm!C24/Midterm!$C$19)*50)+50),0)))</f>
        <v/>
      </c>
      <c r="AD24" s="216" t="str">
        <f>IF(Midterm!D24="",,(round((sum((Midterm!D24/Midterm!$D$19)*50)+50),0)))</f>
        <v/>
      </c>
      <c r="AE24" s="216" t="str">
        <f>IF(Midterm!E24="",,(round((sum((Midterm!E24/Midterm!$E$19)*50)+50),0)))</f>
        <v/>
      </c>
      <c r="AF24" s="216" t="str">
        <f>IF(Midterm!F24="",,(round((sum((Midterm!F24/Midterm!$F$19)*50)+50),0)))</f>
        <v/>
      </c>
      <c r="AG24" s="216" t="str">
        <f>IF(Midterm!G24="",,(round((sum((Midterm!G24/Midterm!$G$19)*50)+50),0)))</f>
        <v/>
      </c>
      <c r="AH24" s="216" t="str">
        <f>IF(PreFinal!C24="",,(round((sum((PreFinal!C24/PreFinal!$C$19)*50)+50),0)))</f>
        <v/>
      </c>
      <c r="AI24" s="216" t="str">
        <f>IF(PreFinal!D24="",,(round((sum((PreFinal!D24/PreFinal!$D$19)*50)+50),0)))</f>
        <v/>
      </c>
      <c r="AJ24" s="216" t="str">
        <f>IF(PreFinal!E24="",,(round((sum((PreFinal!E24/PreFinal!$E$19)*50)+50),0)))</f>
        <v/>
      </c>
      <c r="AK24" s="216" t="str">
        <f>IF(PreFinal!F24="",,(round((sum((PreFinal!F24/PreFinal!$F$19)*50)+50),0)))</f>
        <v/>
      </c>
      <c r="AL24" s="216" t="str">
        <f>IF(PreFinal!G24="",,(round((sum((PreFinal!G24/PreFinal!$G$19)*50)+50),0)))</f>
        <v/>
      </c>
      <c r="AM24" s="217"/>
      <c r="AN24" s="4"/>
    </row>
    <row r="25" ht="26.25" customHeight="1">
      <c r="A25" s="225"/>
      <c r="B25" s="225"/>
      <c r="C25" s="226">
        <v>6.0</v>
      </c>
      <c r="D25" s="227" t="str">
        <f>Prelim!$B25</f>
        <v/>
      </c>
      <c r="E25" s="228"/>
      <c r="F25" s="229">
        <f t="shared" si="1"/>
        <v>0</v>
      </c>
      <c r="G25" s="229">
        <f>round(iferror((AVERAGE(Prelim!H25:K25)*MConfig!$D$15),)+iferror((average(Prelim!L25:O25)*MConfig!$D$16),)+iferror((average(Prelim!P25:S25)*MConfig!$D$17),),0)</f>
        <v>0</v>
      </c>
      <c r="H25" s="229">
        <f>round(sum(F25*MConfig!$E$13)+(G25*MConfig!$E$14),0)</f>
        <v>0</v>
      </c>
      <c r="I25" s="229" t="str">
        <f>  if(Prelim!T25="",,  (round(sum((Prelim!T25/Prelim!$T$19)*50)+50,0)))</f>
        <v/>
      </c>
      <c r="J25" s="230" t="str">
        <f>IF(I25="",,round(SUM((H25*MConfig!$F$12)+(I25*MConfig!$F$11)),0))</f>
        <v/>
      </c>
      <c r="K25" s="231" t="str">
        <f>IFNA(IF(Prelim!U25="DRP","DRP",vlookup(J25,MConfig!$B$25:$C$33,2)),"")</f>
        <v/>
      </c>
      <c r="L25" s="229">
        <f t="shared" si="2"/>
        <v>0</v>
      </c>
      <c r="M25" s="229">
        <f>round(iferror((AVERAGE(Midterm!H25:K25)*MConfig!$G$15),)+iferror((average(Midterm!L25:O25)*MConfig!$G$16),)+iferror((average(Midterm!P25:S25)*MConfig!$G$17),),0)</f>
        <v>0</v>
      </c>
      <c r="N25" s="232">
        <f>round(SUM(L25*MConfig!$H$13)+(M25*MConfig!$H$14),0)</f>
        <v>0</v>
      </c>
      <c r="O25" s="232" t="str">
        <f>IF(Midterm!T25="",, (round(sum((Midterm!T25/Midterm!$T$19)*50)+50,0)))</f>
        <v/>
      </c>
      <c r="P25" s="230" t="str">
        <f>IF(O25="",,round(SUM((N25*MConfig!$I$12)+(O25*MConfig!$I$11)),0))</f>
        <v/>
      </c>
      <c r="Q25" s="233" t="str">
        <f>IFNA(IF(Midterm!U25="DRP","DRP",vlookup(P25,MConfig!$B$25:$C$33,2)),"")</f>
        <v/>
      </c>
      <c r="R25" s="234">
        <f t="shared" si="3"/>
        <v>0</v>
      </c>
      <c r="S25" s="234">
        <f>round(iferror((AVERAGE(PreFinal!H25:K25)*MConfig!$J$15),)+iferror((average(PreFinal!L25:O25)*MConfig!$J$16),)+iferror((average(PreFinal!P25:S25)*MConfig!$J$17),)+((PreFinal!T25)*MConfig!$J$18),0)</f>
        <v>0</v>
      </c>
      <c r="T25" s="234">
        <f>ROUND(SUM(R25*MConfig!$K$13)+(S25*MConfig!$K$14),0)</f>
        <v>0</v>
      </c>
      <c r="U25" s="229" t="str">
        <f>IF(PreFinal!U25="",,(round(sum((PreFinal!U25/PreFinal!$U$19)*50)+50,0)))</f>
        <v/>
      </c>
      <c r="V25" s="230" t="str">
        <f t="shared" si="4"/>
        <v/>
      </c>
      <c r="W25" s="233" t="str">
        <f>IFNA(IF(PreFinal!V25="DRP","DRP",vlookup(V25,MConfig!$B$25:$C$33,2)),"")</f>
        <v/>
      </c>
      <c r="X25" s="216" t="str">
        <f>IF(Prelim!C25="",,(round((sum((Prelim!C25/Prelim!$C$19)*50)+50),0)))</f>
        <v/>
      </c>
      <c r="Y25" s="216" t="str">
        <f>IF(Prelim!D25="",,(round((sum((Prelim!D25/Prelim!$D$19)*50)+50),0)))</f>
        <v/>
      </c>
      <c r="Z25" s="216" t="str">
        <f>IF(Prelim!E25="",,round((sum((Prelim!E25/Prelim!$E$19)*50)+50),0))</f>
        <v/>
      </c>
      <c r="AA25" s="216" t="str">
        <f>IF(Prelim!F25="",,(round((sum((Prelim!F25/Prelim!$F$19)*50)+50),0)))</f>
        <v/>
      </c>
      <c r="AB25" s="216" t="str">
        <f>IF(Prelim!G25="",,(round((sum((Prelim!G25/Prelim!$G$19)*50)+50),0)))</f>
        <v/>
      </c>
      <c r="AC25" s="216" t="str">
        <f>IF(Midterm!C25="",,(round((sum((Midterm!C25/Midterm!$C$19)*50)+50),0)))</f>
        <v/>
      </c>
      <c r="AD25" s="216" t="str">
        <f>IF(Midterm!D25="",,(round((sum((Midterm!D25/Midterm!$D$19)*50)+50),0)))</f>
        <v/>
      </c>
      <c r="AE25" s="216" t="str">
        <f>IF(Midterm!E25="",,(round((sum((Midterm!E25/Midterm!$E$19)*50)+50),0)))</f>
        <v/>
      </c>
      <c r="AF25" s="216" t="str">
        <f>IF(Midterm!F25="",,(round((sum((Midterm!F25/Midterm!$F$19)*50)+50),0)))</f>
        <v/>
      </c>
      <c r="AG25" s="216" t="str">
        <f>IF(Midterm!G25="",,(round((sum((Midterm!G25/Midterm!$G$19)*50)+50),0)))</f>
        <v/>
      </c>
      <c r="AH25" s="216" t="str">
        <f>IF(PreFinal!C25="",,(round((sum((PreFinal!C25/PreFinal!$C$19)*50)+50),0)))</f>
        <v/>
      </c>
      <c r="AI25" s="216" t="str">
        <f>IF(PreFinal!D25="",,(round((sum((PreFinal!D25/PreFinal!$D$19)*50)+50),0)))</f>
        <v/>
      </c>
      <c r="AJ25" s="216" t="str">
        <f>IF(PreFinal!E25="",,(round((sum((PreFinal!E25/PreFinal!$E$19)*50)+50),0)))</f>
        <v/>
      </c>
      <c r="AK25" s="216" t="str">
        <f>IF(PreFinal!F25="",,(round((sum((PreFinal!F25/PreFinal!$F$19)*50)+50),0)))</f>
        <v/>
      </c>
      <c r="AL25" s="216" t="str">
        <f>IF(PreFinal!G25="",,(round((sum((PreFinal!G25/PreFinal!$G$19)*50)+50),0)))</f>
        <v/>
      </c>
      <c r="AM25" s="217"/>
      <c r="AN25" s="4"/>
    </row>
    <row r="26" ht="26.25" customHeight="1">
      <c r="A26" s="225"/>
      <c r="B26" s="225"/>
      <c r="C26" s="226">
        <v>7.0</v>
      </c>
      <c r="D26" s="227" t="str">
        <f>Prelim!$B26</f>
        <v/>
      </c>
      <c r="E26" s="228"/>
      <c r="F26" s="229">
        <f t="shared" si="1"/>
        <v>0</v>
      </c>
      <c r="G26" s="229">
        <f>round(iferror((AVERAGE(Prelim!H26:K26)*MConfig!$D$15),)+iferror((average(Prelim!L26:O26)*MConfig!$D$16),)+iferror((average(Prelim!P26:S26)*MConfig!$D$17),),0)</f>
        <v>0</v>
      </c>
      <c r="H26" s="229">
        <f>round(sum(F26*MConfig!$E$13)+(G26*MConfig!$E$14),0)</f>
        <v>0</v>
      </c>
      <c r="I26" s="229" t="str">
        <f>  if(Prelim!T26="",,  (round(sum((Prelim!T26/Prelim!$T$19)*50)+50,0)))</f>
        <v/>
      </c>
      <c r="J26" s="230" t="str">
        <f>IF(I26="",,round(SUM((H26*MConfig!$F$12)+(I26*MConfig!$F$11)),0))</f>
        <v/>
      </c>
      <c r="K26" s="231" t="str">
        <f>IFNA(IF(Prelim!U26="DRP","DRP",vlookup(J26,MConfig!$B$25:$C$33,2)),"")</f>
        <v/>
      </c>
      <c r="L26" s="229">
        <f t="shared" si="2"/>
        <v>0</v>
      </c>
      <c r="M26" s="229">
        <f>round(iferror((AVERAGE(Midterm!H26:K26)*MConfig!$G$15),)+iferror((average(Midterm!L26:O26)*MConfig!$G$16),)+iferror((average(Midterm!P26:S26)*MConfig!$G$17),),0)</f>
        <v>0</v>
      </c>
      <c r="N26" s="232">
        <f>round(SUM(L26*MConfig!$H$13)+(M26*MConfig!$H$14),0)</f>
        <v>0</v>
      </c>
      <c r="O26" s="232" t="str">
        <f>IF(Midterm!T26="",, (round(sum((Midterm!T26/Midterm!$T$19)*50)+50,0)))</f>
        <v/>
      </c>
      <c r="P26" s="230" t="str">
        <f>IF(O26="",,round(SUM((N26*MConfig!$I$12)+(O26*MConfig!$I$11)),0))</f>
        <v/>
      </c>
      <c r="Q26" s="233" t="str">
        <f>IFNA(IF(Midterm!U26="DRP","DRP",vlookup(P26,MConfig!$B$25:$C$33,2)),"")</f>
        <v/>
      </c>
      <c r="R26" s="234">
        <f t="shared" si="3"/>
        <v>0</v>
      </c>
      <c r="S26" s="234">
        <f>round(iferror((AVERAGE(PreFinal!H26:K26)*MConfig!$J$15),)+iferror((average(PreFinal!L26:O26)*MConfig!$J$16),)+iferror((average(PreFinal!P26:S26)*MConfig!$J$17),)+((PreFinal!T26)*MConfig!$J$18),0)</f>
        <v>0</v>
      </c>
      <c r="T26" s="234">
        <f>ROUND(SUM(R26*MConfig!$K$13)+(S26*MConfig!$K$14),0)</f>
        <v>0</v>
      </c>
      <c r="U26" s="229" t="str">
        <f>IF(PreFinal!U26="",,(round(sum((PreFinal!U26/PreFinal!$U$19)*50)+50,0)))</f>
        <v/>
      </c>
      <c r="V26" s="230" t="str">
        <f t="shared" si="4"/>
        <v/>
      </c>
      <c r="W26" s="233" t="str">
        <f>IFNA(IF(PreFinal!V26="DRP","DRP",vlookup(V26,MConfig!$B$25:$C$33,2)),"")</f>
        <v/>
      </c>
      <c r="X26" s="216" t="str">
        <f>IF(Prelim!C26="",,(round((sum((Prelim!C26/Prelim!$C$19)*50)+50),0)))</f>
        <v/>
      </c>
      <c r="Y26" s="216" t="str">
        <f>IF(Prelim!D26="",,(round((sum((Prelim!D26/Prelim!$D$19)*50)+50),0)))</f>
        <v/>
      </c>
      <c r="Z26" s="216" t="str">
        <f>IF(Prelim!E26="",,round((sum((Prelim!E26/Prelim!$E$19)*50)+50),0))</f>
        <v/>
      </c>
      <c r="AA26" s="216" t="str">
        <f>IF(Prelim!F26="",,(round((sum((Prelim!F26/Prelim!$F$19)*50)+50),0)))</f>
        <v/>
      </c>
      <c r="AB26" s="216" t="str">
        <f>IF(Prelim!G26="",,(round((sum((Prelim!G26/Prelim!$G$19)*50)+50),0)))</f>
        <v/>
      </c>
      <c r="AC26" s="216" t="str">
        <f>IF(Midterm!C26="",,(round((sum((Midterm!C26/Midterm!$C$19)*50)+50),0)))</f>
        <v/>
      </c>
      <c r="AD26" s="216" t="str">
        <f>IF(Midterm!D26="",,(round((sum((Midterm!D26/Midterm!$D$19)*50)+50),0)))</f>
        <v/>
      </c>
      <c r="AE26" s="216" t="str">
        <f>IF(Midterm!E26="",,(round((sum((Midterm!E26/Midterm!$E$19)*50)+50),0)))</f>
        <v/>
      </c>
      <c r="AF26" s="216" t="str">
        <f>IF(Midterm!F26="",,(round((sum((Midterm!F26/Midterm!$F$19)*50)+50),0)))</f>
        <v/>
      </c>
      <c r="AG26" s="216" t="str">
        <f>IF(Midterm!G26="",,(round((sum((Midterm!G26/Midterm!$G$19)*50)+50),0)))</f>
        <v/>
      </c>
      <c r="AH26" s="216" t="str">
        <f>IF(PreFinal!C26="",,(round((sum((PreFinal!C26/PreFinal!$C$19)*50)+50),0)))</f>
        <v/>
      </c>
      <c r="AI26" s="216" t="str">
        <f>IF(PreFinal!D26="",,(round((sum((PreFinal!D26/PreFinal!$D$19)*50)+50),0)))</f>
        <v/>
      </c>
      <c r="AJ26" s="216" t="str">
        <f>IF(PreFinal!E26="",,(round((sum((PreFinal!E26/PreFinal!$E$19)*50)+50),0)))</f>
        <v/>
      </c>
      <c r="AK26" s="216" t="str">
        <f>IF(PreFinal!F26="",,(round((sum((PreFinal!F26/PreFinal!$F$19)*50)+50),0)))</f>
        <v/>
      </c>
      <c r="AL26" s="216" t="str">
        <f>IF(PreFinal!G26="",,(round((sum((PreFinal!G26/PreFinal!$G$19)*50)+50),0)))</f>
        <v/>
      </c>
      <c r="AM26" s="217"/>
      <c r="AN26" s="4"/>
    </row>
    <row r="27" ht="26.25" customHeight="1">
      <c r="A27" s="225"/>
      <c r="B27" s="225"/>
      <c r="C27" s="226">
        <v>8.0</v>
      </c>
      <c r="D27" s="227" t="str">
        <f>Prelim!$B27</f>
        <v/>
      </c>
      <c r="E27" s="228"/>
      <c r="F27" s="229">
        <f t="shared" si="1"/>
        <v>0</v>
      </c>
      <c r="G27" s="229">
        <f>round(iferror((AVERAGE(Prelim!H27:K27)*MConfig!$D$15),)+iferror((average(Prelim!L27:O27)*MConfig!$D$16),)+iferror((average(Prelim!P27:S27)*MConfig!$D$17),),0)</f>
        <v>0</v>
      </c>
      <c r="H27" s="229">
        <f>round(sum(F27*MConfig!$E$13)+(G27*MConfig!$E$14),0)</f>
        <v>0</v>
      </c>
      <c r="I27" s="229" t="str">
        <f>  if(Prelim!T27="",,  (round(sum((Prelim!T27/Prelim!$T$19)*50)+50,0)))</f>
        <v/>
      </c>
      <c r="J27" s="230" t="str">
        <f>IF(I27="",,round(SUM((H27*MConfig!$F$12)+(I27*MConfig!$F$11)),0))</f>
        <v/>
      </c>
      <c r="K27" s="231" t="str">
        <f>IFNA(IF(Prelim!U27="DRP","DRP",vlookup(J27,MConfig!$B$25:$C$33,2)),"")</f>
        <v/>
      </c>
      <c r="L27" s="229">
        <f t="shared" si="2"/>
        <v>0</v>
      </c>
      <c r="M27" s="229">
        <f>round(iferror((AVERAGE(Midterm!H27:K27)*MConfig!$G$15),)+iferror((average(Midterm!L27:O27)*MConfig!$G$16),)+iferror((average(Midterm!P27:S27)*MConfig!$G$17),),0)</f>
        <v>0</v>
      </c>
      <c r="N27" s="232">
        <f>round(SUM(L27*MConfig!$H$13)+(M27*MConfig!$H$14),0)</f>
        <v>0</v>
      </c>
      <c r="O27" s="232" t="str">
        <f>IF(Midterm!T27="",, (round(sum((Midterm!T27/Midterm!$T$19)*50)+50,0)))</f>
        <v/>
      </c>
      <c r="P27" s="230" t="str">
        <f>IF(O27="",,round(SUM((N27*MConfig!$I$12)+(O27*MConfig!$I$11)),0))</f>
        <v/>
      </c>
      <c r="Q27" s="233" t="str">
        <f>IFNA(IF(Midterm!U27="DRP","DRP",vlookup(P27,MConfig!$B$25:$C$33,2)),"")</f>
        <v/>
      </c>
      <c r="R27" s="234">
        <f t="shared" si="3"/>
        <v>0</v>
      </c>
      <c r="S27" s="234">
        <f>round(iferror((AVERAGE(PreFinal!H27:K27)*MConfig!$J$15),)+iferror((average(PreFinal!L27:O27)*MConfig!$J$16),)+iferror((average(PreFinal!P27:S27)*MConfig!$J$17),)+((PreFinal!T27)*MConfig!$J$18),0)</f>
        <v>0</v>
      </c>
      <c r="T27" s="234">
        <f>ROUND(SUM(R27*MConfig!$K$13)+(S27*MConfig!$K$14),0)</f>
        <v>0</v>
      </c>
      <c r="U27" s="229" t="str">
        <f>IF(PreFinal!U27="",,(round(sum((PreFinal!U27/PreFinal!$U$19)*50)+50,0)))</f>
        <v/>
      </c>
      <c r="V27" s="230" t="str">
        <f t="shared" si="4"/>
        <v/>
      </c>
      <c r="W27" s="233" t="str">
        <f>IFNA(IF(PreFinal!V27="DRP","DRP",vlookup(V27,MConfig!$B$25:$C$33,2)),"")</f>
        <v/>
      </c>
      <c r="X27" s="216" t="str">
        <f>IF(Prelim!C27="",,(round((sum((Prelim!C27/Prelim!$C$19)*50)+50),0)))</f>
        <v/>
      </c>
      <c r="Y27" s="216" t="str">
        <f>IF(Prelim!D27="",,(round((sum((Prelim!D27/Prelim!$D$19)*50)+50),0)))</f>
        <v/>
      </c>
      <c r="Z27" s="216" t="str">
        <f>IF(Prelim!E27="",,round((sum((Prelim!E27/Prelim!$E$19)*50)+50),0))</f>
        <v/>
      </c>
      <c r="AA27" s="216" t="str">
        <f>IF(Prelim!F27="",,(round((sum((Prelim!F27/Prelim!$F$19)*50)+50),0)))</f>
        <v/>
      </c>
      <c r="AB27" s="216" t="str">
        <f>IF(Prelim!G27="",,(round((sum((Prelim!G27/Prelim!$G$19)*50)+50),0)))</f>
        <v/>
      </c>
      <c r="AC27" s="216" t="str">
        <f>IF(Midterm!C27="",,(round((sum((Midterm!C27/Midterm!$C$19)*50)+50),0)))</f>
        <v/>
      </c>
      <c r="AD27" s="216" t="str">
        <f>IF(Midterm!D27="",,(round((sum((Midterm!D27/Midterm!$D$19)*50)+50),0)))</f>
        <v/>
      </c>
      <c r="AE27" s="216" t="str">
        <f>IF(Midterm!E27="",,(round((sum((Midterm!E27/Midterm!$E$19)*50)+50),0)))</f>
        <v/>
      </c>
      <c r="AF27" s="216" t="str">
        <f>IF(Midterm!F27="",,(round((sum((Midterm!F27/Midterm!$F$19)*50)+50),0)))</f>
        <v/>
      </c>
      <c r="AG27" s="216" t="str">
        <f>IF(Midterm!G27="",,(round((sum((Midterm!G27/Midterm!$G$19)*50)+50),0)))</f>
        <v/>
      </c>
      <c r="AH27" s="216" t="str">
        <f>IF(PreFinal!C27="",,(round((sum((PreFinal!C27/PreFinal!$C$19)*50)+50),0)))</f>
        <v/>
      </c>
      <c r="AI27" s="216" t="str">
        <f>IF(PreFinal!D27="",,(round((sum((PreFinal!D27/PreFinal!$D$19)*50)+50),0)))</f>
        <v/>
      </c>
      <c r="AJ27" s="216" t="str">
        <f>IF(PreFinal!E27="",,(round((sum((PreFinal!E27/PreFinal!$E$19)*50)+50),0)))</f>
        <v/>
      </c>
      <c r="AK27" s="216" t="str">
        <f>IF(PreFinal!F27="",,(round((sum((PreFinal!F27/PreFinal!$F$19)*50)+50),0)))</f>
        <v/>
      </c>
      <c r="AL27" s="216" t="str">
        <f>IF(PreFinal!G27="",,(round((sum((PreFinal!G27/PreFinal!$G$19)*50)+50),0)))</f>
        <v/>
      </c>
      <c r="AM27" s="217"/>
      <c r="AN27" s="235"/>
    </row>
    <row r="28" ht="26.25" customHeight="1">
      <c r="A28" s="225"/>
      <c r="B28" s="225"/>
      <c r="C28" s="226">
        <v>9.0</v>
      </c>
      <c r="D28" s="227" t="str">
        <f>Prelim!$B28</f>
        <v/>
      </c>
      <c r="E28" s="228"/>
      <c r="F28" s="229">
        <f t="shared" si="1"/>
        <v>0</v>
      </c>
      <c r="G28" s="229">
        <f>round(iferror((AVERAGE(Prelim!H28:K28)*MConfig!$D$15),)+iferror((average(Prelim!L28:O28)*MConfig!$D$16),)+iferror((average(Prelim!P28:S28)*MConfig!$D$17),),0)</f>
        <v>0</v>
      </c>
      <c r="H28" s="229">
        <f>round(sum(F28*MConfig!$E$13)+(G28*MConfig!$E$14),0)</f>
        <v>0</v>
      </c>
      <c r="I28" s="229" t="str">
        <f>  if(Prelim!T28="",,  (round(sum((Prelim!T28/Prelim!$T$19)*50)+50,0)))</f>
        <v/>
      </c>
      <c r="J28" s="230" t="str">
        <f>IF(I28="",,round(SUM((H28*MConfig!$F$12)+(I28*MConfig!$F$11)),0))</f>
        <v/>
      </c>
      <c r="K28" s="231" t="str">
        <f>IFNA(IF(Prelim!U28="DRP","DRP",vlookup(J28,MConfig!$B$25:$C$33,2)),"")</f>
        <v/>
      </c>
      <c r="L28" s="229">
        <f t="shared" si="2"/>
        <v>0</v>
      </c>
      <c r="M28" s="229">
        <f>round(iferror((AVERAGE(Midterm!H28:K28)*MConfig!$G$15),)+iferror((average(Midterm!L28:O28)*MConfig!$G$16),)+iferror((average(Midterm!P28:S28)*MConfig!$G$17),),0)</f>
        <v>0</v>
      </c>
      <c r="N28" s="232">
        <f>round(SUM(L28*MConfig!$H$13)+(M28*MConfig!$H$14),0)</f>
        <v>0</v>
      </c>
      <c r="O28" s="232" t="str">
        <f>IF(Midterm!T28="",, (round(sum((Midterm!T28/Midterm!$T$19)*50)+50,0)))</f>
        <v/>
      </c>
      <c r="P28" s="230" t="str">
        <f>IF(O28="",,round(SUM((N28*MConfig!$I$12)+(O28*MConfig!$I$11)),0))</f>
        <v/>
      </c>
      <c r="Q28" s="233" t="str">
        <f>IFNA(IF(Midterm!U28="DRP","DRP",vlookup(P28,MConfig!$B$25:$C$33,2)),"")</f>
        <v/>
      </c>
      <c r="R28" s="234">
        <f t="shared" si="3"/>
        <v>0</v>
      </c>
      <c r="S28" s="234">
        <f>round(iferror((AVERAGE(PreFinal!H28:K28)*MConfig!$J$15),)+iferror((average(PreFinal!L28:O28)*MConfig!$J$16),)+iferror((average(PreFinal!P28:S28)*MConfig!$J$17),)+((PreFinal!T28)*MConfig!$J$18),0)</f>
        <v>0</v>
      </c>
      <c r="T28" s="234">
        <f>ROUND(SUM(R28*MConfig!$K$13)+(S28*MConfig!$K$14),0)</f>
        <v>0</v>
      </c>
      <c r="U28" s="229" t="str">
        <f>IF(PreFinal!U28="",,(round(sum((PreFinal!U28/PreFinal!$U$19)*50)+50,0)))</f>
        <v/>
      </c>
      <c r="V28" s="230" t="str">
        <f t="shared" si="4"/>
        <v/>
      </c>
      <c r="W28" s="233" t="str">
        <f>IFNA(IF(PreFinal!V28="DRP","DRP",vlookup(V28,MConfig!$B$25:$C$33,2)),"")</f>
        <v/>
      </c>
      <c r="X28" s="216" t="str">
        <f>IF(Prelim!C28="",,(round((sum((Prelim!C28/Prelim!$C$19)*50)+50),0)))</f>
        <v/>
      </c>
      <c r="Y28" s="216" t="str">
        <f>IF(Prelim!D28="",,(round((sum((Prelim!D28/Prelim!$D$19)*50)+50),0)))</f>
        <v/>
      </c>
      <c r="Z28" s="216" t="str">
        <f>IF(Prelim!E28="",,round((sum((Prelim!E28/Prelim!$E$19)*50)+50),0))</f>
        <v/>
      </c>
      <c r="AA28" s="216" t="str">
        <f>IF(Prelim!F28="",,(round((sum((Prelim!F28/Prelim!$F$19)*50)+50),0)))</f>
        <v/>
      </c>
      <c r="AB28" s="216" t="str">
        <f>IF(Prelim!G28="",,(round((sum((Prelim!G28/Prelim!$G$19)*50)+50),0)))</f>
        <v/>
      </c>
      <c r="AC28" s="216" t="str">
        <f>IF(Midterm!C28="",,(round((sum((Midterm!C28/Midterm!$C$19)*50)+50),0)))</f>
        <v/>
      </c>
      <c r="AD28" s="216" t="str">
        <f>IF(Midterm!D28="",,(round((sum((Midterm!D28/Midterm!$D$19)*50)+50),0)))</f>
        <v/>
      </c>
      <c r="AE28" s="216" t="str">
        <f>IF(Midterm!E28="",,(round((sum((Midterm!E28/Midterm!$E$19)*50)+50),0)))</f>
        <v/>
      </c>
      <c r="AF28" s="216" t="str">
        <f>IF(Midterm!F28="",,(round((sum((Midterm!F28/Midterm!$F$19)*50)+50),0)))</f>
        <v/>
      </c>
      <c r="AG28" s="216" t="str">
        <f>IF(Midterm!G28="",,(round((sum((Midterm!G28/Midterm!$G$19)*50)+50),0)))</f>
        <v/>
      </c>
      <c r="AH28" s="216" t="str">
        <f>IF(PreFinal!C28="",,(round((sum((PreFinal!C28/PreFinal!$C$19)*50)+50),0)))</f>
        <v/>
      </c>
      <c r="AI28" s="216" t="str">
        <f>IF(PreFinal!D28="",,(round((sum((PreFinal!D28/PreFinal!$D$19)*50)+50),0)))</f>
        <v/>
      </c>
      <c r="AJ28" s="216" t="str">
        <f>IF(PreFinal!E28="",,(round((sum((PreFinal!E28/PreFinal!$E$19)*50)+50),0)))</f>
        <v/>
      </c>
      <c r="AK28" s="216" t="str">
        <f>IF(PreFinal!F28="",,(round((sum((PreFinal!F28/PreFinal!$F$19)*50)+50),0)))</f>
        <v/>
      </c>
      <c r="AL28" s="216" t="str">
        <f>IF(PreFinal!G28="",,(round((sum((PreFinal!G28/PreFinal!$G$19)*50)+50),0)))</f>
        <v/>
      </c>
      <c r="AM28" s="217"/>
      <c r="AN28" s="236"/>
    </row>
    <row r="29" ht="26.25" customHeight="1">
      <c r="A29" s="225"/>
      <c r="B29" s="225"/>
      <c r="C29" s="226">
        <v>10.0</v>
      </c>
      <c r="D29" s="227" t="str">
        <f>Prelim!$B29</f>
        <v/>
      </c>
      <c r="E29" s="228"/>
      <c r="F29" s="229">
        <f t="shared" si="1"/>
        <v>0</v>
      </c>
      <c r="G29" s="229">
        <f>round(iferror((AVERAGE(Prelim!H29:K29)*MConfig!$D$15),)+iferror((average(Prelim!L29:O29)*MConfig!$D$16),)+iferror((average(Prelim!P29:S29)*MConfig!$D$17),),0)</f>
        <v>0</v>
      </c>
      <c r="H29" s="229">
        <f>round(sum(F29*MConfig!$E$13)+(G29*MConfig!$E$14),0)</f>
        <v>0</v>
      </c>
      <c r="I29" s="229" t="str">
        <f>  if(Prelim!T29="",,  (round(sum((Prelim!T29/Prelim!$T$19)*50)+50,0)))</f>
        <v/>
      </c>
      <c r="J29" s="230" t="str">
        <f>IF(I29="",,round(SUM((H29*MConfig!$F$12)+(I29*MConfig!$F$11)),0))</f>
        <v/>
      </c>
      <c r="K29" s="231" t="str">
        <f>IFNA(IF(Prelim!U29="DRP","DRP",vlookup(J29,MConfig!$B$25:$C$33,2)),"")</f>
        <v/>
      </c>
      <c r="L29" s="229">
        <f t="shared" si="2"/>
        <v>0</v>
      </c>
      <c r="M29" s="229">
        <f>round(iferror((AVERAGE(Midterm!H29:K29)*MConfig!$G$15),)+iferror((average(Midterm!L29:O29)*MConfig!$G$16),)+iferror((average(Midterm!P29:S29)*MConfig!$G$17),),0)</f>
        <v>0</v>
      </c>
      <c r="N29" s="232">
        <f>round(SUM(L29*MConfig!$H$13)+(M29*MConfig!$H$14),0)</f>
        <v>0</v>
      </c>
      <c r="O29" s="232" t="str">
        <f>IF(Midterm!T29="",, (round(sum((Midterm!T29/Midterm!$T$19)*50)+50,0)))</f>
        <v/>
      </c>
      <c r="P29" s="230" t="str">
        <f>IF(O29="",,round(SUM((N29*MConfig!$I$12)+(O29*MConfig!$I$11)),0))</f>
        <v/>
      </c>
      <c r="Q29" s="233" t="str">
        <f>IFNA(IF(Midterm!U29="DRP","DRP",vlookup(P29,MConfig!$B$25:$C$33,2)),"")</f>
        <v/>
      </c>
      <c r="R29" s="234">
        <f t="shared" si="3"/>
        <v>0</v>
      </c>
      <c r="S29" s="234">
        <f>round(iferror((AVERAGE(PreFinal!H29:K29)*MConfig!$J$15),)+iferror((average(PreFinal!L29:O29)*MConfig!$J$16),)+iferror((average(PreFinal!P29:S29)*MConfig!$J$17),)+((PreFinal!T29)*MConfig!$J$18),0)</f>
        <v>0</v>
      </c>
      <c r="T29" s="234">
        <f>ROUND(SUM(R29*MConfig!$K$13)+(S29*MConfig!$K$14),0)</f>
        <v>0</v>
      </c>
      <c r="U29" s="229" t="str">
        <f>IF(PreFinal!U29="",,(round(sum((PreFinal!U29/PreFinal!$U$19)*50)+50,0)))</f>
        <v/>
      </c>
      <c r="V29" s="230" t="str">
        <f t="shared" si="4"/>
        <v/>
      </c>
      <c r="W29" s="233" t="str">
        <f>IFNA(IF(PreFinal!V29="DRP","DRP",vlookup(V29,MConfig!$B$25:$C$33,2)),"")</f>
        <v/>
      </c>
      <c r="X29" s="216" t="str">
        <f>IF(Prelim!C29="",,(round((sum((Prelim!C29/Prelim!$C$19)*50)+50),0)))</f>
        <v/>
      </c>
      <c r="Y29" s="216" t="str">
        <f>IF(Prelim!D29="",,(round((sum((Prelim!D29/Prelim!$D$19)*50)+50),0)))</f>
        <v/>
      </c>
      <c r="Z29" s="216" t="str">
        <f>IF(Prelim!E29="",,round((sum((Prelim!E29/Prelim!$E$19)*50)+50),0))</f>
        <v/>
      </c>
      <c r="AA29" s="216" t="str">
        <f>IF(Prelim!F29="",,(round((sum((Prelim!F29/Prelim!$F$19)*50)+50),0)))</f>
        <v/>
      </c>
      <c r="AB29" s="216" t="str">
        <f>IF(Prelim!G29="",,(round((sum((Prelim!G29/Prelim!$G$19)*50)+50),0)))</f>
        <v/>
      </c>
      <c r="AC29" s="216" t="str">
        <f>IF(Midterm!C29="",,(round((sum((Midterm!C29/Midterm!$C$19)*50)+50),0)))</f>
        <v/>
      </c>
      <c r="AD29" s="216" t="str">
        <f>IF(Midterm!D29="",,(round((sum((Midterm!D29/Midterm!$D$19)*50)+50),0)))</f>
        <v/>
      </c>
      <c r="AE29" s="216" t="str">
        <f>IF(Midterm!E29="",,(round((sum((Midterm!E29/Midterm!$E$19)*50)+50),0)))</f>
        <v/>
      </c>
      <c r="AF29" s="216" t="str">
        <f>IF(Midterm!F29="",,(round((sum((Midterm!F29/Midterm!$F$19)*50)+50),0)))</f>
        <v/>
      </c>
      <c r="AG29" s="216" t="str">
        <f>IF(Midterm!G29="",,(round((sum((Midterm!G29/Midterm!$G$19)*50)+50),0)))</f>
        <v/>
      </c>
      <c r="AH29" s="216" t="str">
        <f>IF(PreFinal!C29="",,(round((sum((PreFinal!C29/PreFinal!$C$19)*50)+50),0)))</f>
        <v/>
      </c>
      <c r="AI29" s="216" t="str">
        <f>IF(PreFinal!D29="",,(round((sum((PreFinal!D29/PreFinal!$D$19)*50)+50),0)))</f>
        <v/>
      </c>
      <c r="AJ29" s="216" t="str">
        <f>IF(PreFinal!E29="",,(round((sum((PreFinal!E29/PreFinal!$E$19)*50)+50),0)))</f>
        <v/>
      </c>
      <c r="AK29" s="216" t="str">
        <f>IF(PreFinal!F29="",,(round((sum((PreFinal!F29/PreFinal!$F$19)*50)+50),0)))</f>
        <v/>
      </c>
      <c r="AL29" s="216" t="str">
        <f>IF(PreFinal!G29="",,(round((sum((PreFinal!G29/PreFinal!$G$19)*50)+50),0)))</f>
        <v/>
      </c>
      <c r="AM29" s="217"/>
      <c r="AN29" s="4"/>
    </row>
    <row r="30" ht="26.25" customHeight="1">
      <c r="A30" s="225"/>
      <c r="B30" s="225"/>
      <c r="C30" s="226">
        <v>11.0</v>
      </c>
      <c r="D30" s="227" t="str">
        <f>Prelim!$B30</f>
        <v/>
      </c>
      <c r="E30" s="228"/>
      <c r="F30" s="229">
        <f t="shared" si="1"/>
        <v>0</v>
      </c>
      <c r="G30" s="229">
        <f>round(iferror((AVERAGE(Prelim!H30:K30)*MConfig!$D$15),)+iferror((average(Prelim!L30:O30)*MConfig!$D$16),)+iferror((average(Prelim!P30:S30)*MConfig!$D$17),),0)</f>
        <v>0</v>
      </c>
      <c r="H30" s="229">
        <f>round(sum(F30*MConfig!$E$13)+(G30*MConfig!$E$14),0)</f>
        <v>0</v>
      </c>
      <c r="I30" s="229" t="str">
        <f>  if(Prelim!T30="",,  (round(sum((Prelim!T30/Prelim!$T$19)*50)+50,0)))</f>
        <v/>
      </c>
      <c r="J30" s="230" t="str">
        <f>IF(I30="",,round(SUM((H30*MConfig!$F$12)+(I30*MConfig!$F$11)),0))</f>
        <v/>
      </c>
      <c r="K30" s="231" t="str">
        <f>IFNA(IF(Prelim!U30="DRP","DRP",vlookup(J30,MConfig!$B$25:$C$33,2)),"")</f>
        <v/>
      </c>
      <c r="L30" s="229">
        <f t="shared" si="2"/>
        <v>0</v>
      </c>
      <c r="M30" s="229">
        <f>round(iferror((AVERAGE(Midterm!H30:K30)*MConfig!$G$15),)+iferror((average(Midterm!L30:O30)*MConfig!$G$16),)+iferror((average(Midterm!P30:S30)*MConfig!$G$17),),0)</f>
        <v>0</v>
      </c>
      <c r="N30" s="232">
        <f>round(SUM(L30*MConfig!$H$13)+(M30*MConfig!$H$14),0)</f>
        <v>0</v>
      </c>
      <c r="O30" s="232" t="str">
        <f>IF(Midterm!T30="",, (round(sum((Midterm!T30/Midterm!$T$19)*50)+50,0)))</f>
        <v/>
      </c>
      <c r="P30" s="230" t="str">
        <f>IF(O30="",,round(SUM((N30*MConfig!$I$12)+(O30*MConfig!$I$11)),0))</f>
        <v/>
      </c>
      <c r="Q30" s="233" t="str">
        <f>IFNA(IF(Midterm!U30="DRP","DRP",vlookup(P30,MConfig!$B$25:$C$33,2)),"")</f>
        <v/>
      </c>
      <c r="R30" s="234">
        <f t="shared" si="3"/>
        <v>0</v>
      </c>
      <c r="S30" s="234">
        <f>round(iferror((AVERAGE(PreFinal!H30:K30)*MConfig!$J$15),)+iferror((average(PreFinal!L30:O30)*MConfig!$J$16),)+iferror((average(PreFinal!P30:S30)*MConfig!$J$17),)+((PreFinal!T30)*MConfig!$J$18),0)</f>
        <v>0</v>
      </c>
      <c r="T30" s="234">
        <f>ROUND(SUM(R30*MConfig!$K$13)+(S30*MConfig!$K$14),0)</f>
        <v>0</v>
      </c>
      <c r="U30" s="229" t="str">
        <f>IF(PreFinal!U30="",,(round(sum((PreFinal!U30/PreFinal!$U$19)*50)+50,0)))</f>
        <v/>
      </c>
      <c r="V30" s="230" t="str">
        <f t="shared" si="4"/>
        <v/>
      </c>
      <c r="W30" s="233" t="str">
        <f>IFNA(IF(PreFinal!V30="DRP","DRP",vlookup(V30,MConfig!$B$25:$C$33,2)),"")</f>
        <v/>
      </c>
      <c r="X30" s="216" t="str">
        <f>IF(Prelim!C30="",,(round((sum((Prelim!C30/Prelim!$C$19)*50)+50),0)))</f>
        <v/>
      </c>
      <c r="Y30" s="216" t="str">
        <f>IF(Prelim!D30="",,(round((sum((Prelim!D30/Prelim!$D$19)*50)+50),0)))</f>
        <v/>
      </c>
      <c r="Z30" s="216" t="str">
        <f>IF(Prelim!E30="",,round((sum((Prelim!E30/Prelim!$E$19)*50)+50),0))</f>
        <v/>
      </c>
      <c r="AA30" s="216" t="str">
        <f>IF(Prelim!F30="",,(round((sum((Prelim!F30/Prelim!$F$19)*50)+50),0)))</f>
        <v/>
      </c>
      <c r="AB30" s="216" t="str">
        <f>IF(Prelim!G30="",,(round((sum((Prelim!G30/Prelim!$G$19)*50)+50),0)))</f>
        <v/>
      </c>
      <c r="AC30" s="216" t="str">
        <f>IF(Midterm!C30="",,(round((sum((Midterm!C30/Midterm!$C$19)*50)+50),0)))</f>
        <v/>
      </c>
      <c r="AD30" s="216" t="str">
        <f>IF(Midterm!D30="",,(round((sum((Midterm!D30/Midterm!$D$19)*50)+50),0)))</f>
        <v/>
      </c>
      <c r="AE30" s="216" t="str">
        <f>IF(Midterm!E30="",,(round((sum((Midterm!E30/Midterm!$E$19)*50)+50),0)))</f>
        <v/>
      </c>
      <c r="AF30" s="216" t="str">
        <f>IF(Midterm!F30="",,(round((sum((Midterm!F30/Midterm!$F$19)*50)+50),0)))</f>
        <v/>
      </c>
      <c r="AG30" s="216" t="str">
        <f>IF(Midterm!G30="",,(round((sum((Midterm!G30/Midterm!$G$19)*50)+50),0)))</f>
        <v/>
      </c>
      <c r="AH30" s="216" t="str">
        <f>IF(PreFinal!C30="",,(round((sum((PreFinal!C30/PreFinal!$C$19)*50)+50),0)))</f>
        <v/>
      </c>
      <c r="AI30" s="216" t="str">
        <f>IF(PreFinal!D30="",,(round((sum((PreFinal!D30/PreFinal!$D$19)*50)+50),0)))</f>
        <v/>
      </c>
      <c r="AJ30" s="216" t="str">
        <f>IF(PreFinal!E30="",,(round((sum((PreFinal!E30/PreFinal!$E$19)*50)+50),0)))</f>
        <v/>
      </c>
      <c r="AK30" s="216" t="str">
        <f>IF(PreFinal!F30="",,(round((sum((PreFinal!F30/PreFinal!$F$19)*50)+50),0)))</f>
        <v/>
      </c>
      <c r="AL30" s="216" t="str">
        <f>IF(PreFinal!G30="",,(round((sum((PreFinal!G30/PreFinal!$G$19)*50)+50),0)))</f>
        <v/>
      </c>
      <c r="AM30" s="217"/>
      <c r="AN30" s="4"/>
    </row>
    <row r="31" ht="26.25" customHeight="1">
      <c r="A31" s="225"/>
      <c r="B31" s="225"/>
      <c r="C31" s="226">
        <v>12.0</v>
      </c>
      <c r="D31" s="227" t="str">
        <f>Prelim!$B31</f>
        <v/>
      </c>
      <c r="E31" s="228"/>
      <c r="F31" s="229">
        <f t="shared" si="1"/>
        <v>0</v>
      </c>
      <c r="G31" s="229">
        <f>round(iferror((AVERAGE(Prelim!H31:K31)*MConfig!$D$15),)+iferror((average(Prelim!L31:O31)*MConfig!$D$16),)+iferror((average(Prelim!P31:S31)*MConfig!$D$17),),0)</f>
        <v>0</v>
      </c>
      <c r="H31" s="229">
        <f>round(sum(F31*MConfig!$E$13)+(G31*MConfig!$E$14),0)</f>
        <v>0</v>
      </c>
      <c r="I31" s="229" t="str">
        <f>  if(Prelim!T31="",,  (round(sum((Prelim!T31/Prelim!$T$19)*50)+50,0)))</f>
        <v/>
      </c>
      <c r="J31" s="230" t="str">
        <f>IF(I31="",,round(SUM((H31*MConfig!$F$12)+(I31*MConfig!$F$11)),0))</f>
        <v/>
      </c>
      <c r="K31" s="231" t="str">
        <f>IFNA(IF(Prelim!U31="DRP","DRP",vlookup(J31,MConfig!$B$25:$C$33,2)),"")</f>
        <v/>
      </c>
      <c r="L31" s="229">
        <f t="shared" si="2"/>
        <v>0</v>
      </c>
      <c r="M31" s="229">
        <f>round(iferror((AVERAGE(Midterm!H31:K31)*MConfig!$G$15),)+iferror((average(Midterm!L31:O31)*MConfig!$G$16),)+iferror((average(Midterm!P31:S31)*MConfig!$G$17),),0)</f>
        <v>0</v>
      </c>
      <c r="N31" s="232">
        <f>round(SUM(L31*MConfig!$H$13)+(M31*MConfig!$H$14),0)</f>
        <v>0</v>
      </c>
      <c r="O31" s="232" t="str">
        <f>IF(Midterm!T31="",, (round(sum((Midterm!T31/Midterm!$T$19)*50)+50,0)))</f>
        <v/>
      </c>
      <c r="P31" s="230" t="str">
        <f>IF(O31="",,round(SUM((N31*MConfig!$I$12)+(O31*MConfig!$I$11)),0))</f>
        <v/>
      </c>
      <c r="Q31" s="233" t="str">
        <f>IFNA(IF(Midterm!U31="DRP","DRP",vlookup(P31,MConfig!$B$25:$C$33,2)),"")</f>
        <v/>
      </c>
      <c r="R31" s="234">
        <f t="shared" si="3"/>
        <v>0</v>
      </c>
      <c r="S31" s="234">
        <f>round(iferror((AVERAGE(PreFinal!H31:K31)*MConfig!$J$15),)+iferror((average(PreFinal!L31:O31)*MConfig!$J$16),)+iferror((average(PreFinal!P31:S31)*MConfig!$J$17),)+((PreFinal!T31)*MConfig!$J$18),0)</f>
        <v>0</v>
      </c>
      <c r="T31" s="234">
        <f>ROUND(SUM(R31*MConfig!$K$13)+(S31*MConfig!$K$14),0)</f>
        <v>0</v>
      </c>
      <c r="U31" s="229" t="str">
        <f>IF(PreFinal!U31="",,(round(sum((PreFinal!U31/PreFinal!$U$19)*50)+50,0)))</f>
        <v/>
      </c>
      <c r="V31" s="230" t="str">
        <f t="shared" si="4"/>
        <v/>
      </c>
      <c r="W31" s="233" t="str">
        <f>IFNA(IF(PreFinal!V31="DRP","DRP",vlookup(V31,MConfig!$B$25:$C$33,2)),"")</f>
        <v/>
      </c>
      <c r="X31" s="216" t="str">
        <f>IF(Prelim!C31="",,(round((sum((Prelim!C31/Prelim!$C$19)*50)+50),0)))</f>
        <v/>
      </c>
      <c r="Y31" s="216" t="str">
        <f>IF(Prelim!D31="",,(round((sum((Prelim!D31/Prelim!$D$19)*50)+50),0)))</f>
        <v/>
      </c>
      <c r="Z31" s="216" t="str">
        <f>IF(Prelim!E31="",,round((sum((Prelim!E31/Prelim!$E$19)*50)+50),0))</f>
        <v/>
      </c>
      <c r="AA31" s="216" t="str">
        <f>IF(Prelim!F31="",,(round((sum((Prelim!F31/Prelim!$F$19)*50)+50),0)))</f>
        <v/>
      </c>
      <c r="AB31" s="216" t="str">
        <f>IF(Prelim!G31="",,(round((sum((Prelim!G31/Prelim!$G$19)*50)+50),0)))</f>
        <v/>
      </c>
      <c r="AC31" s="216" t="str">
        <f>IF(Midterm!C31="",,(round((sum((Midterm!C31/Midterm!$C$19)*50)+50),0)))</f>
        <v/>
      </c>
      <c r="AD31" s="216" t="str">
        <f>IF(Midterm!D31="",,(round((sum((Midterm!D31/Midterm!$D$19)*50)+50),0)))</f>
        <v/>
      </c>
      <c r="AE31" s="216" t="str">
        <f>IF(Midterm!E31="",,(round((sum((Midterm!E31/Midterm!$E$19)*50)+50),0)))</f>
        <v/>
      </c>
      <c r="AF31" s="216" t="str">
        <f>IF(Midterm!F31="",,(round((sum((Midterm!F31/Midterm!$F$19)*50)+50),0)))</f>
        <v/>
      </c>
      <c r="AG31" s="216" t="str">
        <f>IF(Midterm!G31="",,(round((sum((Midterm!G31/Midterm!$G$19)*50)+50),0)))</f>
        <v/>
      </c>
      <c r="AH31" s="216" t="str">
        <f>IF(PreFinal!C31="",,(round((sum((PreFinal!C31/PreFinal!$C$19)*50)+50),0)))</f>
        <v/>
      </c>
      <c r="AI31" s="216" t="str">
        <f>IF(PreFinal!D31="",,(round((sum((PreFinal!D31/PreFinal!$D$19)*50)+50),0)))</f>
        <v/>
      </c>
      <c r="AJ31" s="216" t="str">
        <f>IF(PreFinal!E31="",,(round((sum((PreFinal!E31/PreFinal!$E$19)*50)+50),0)))</f>
        <v/>
      </c>
      <c r="AK31" s="216" t="str">
        <f>IF(PreFinal!F31="",,(round((sum((PreFinal!F31/PreFinal!$F$19)*50)+50),0)))</f>
        <v/>
      </c>
      <c r="AL31" s="216" t="str">
        <f>IF(PreFinal!G31="",,(round((sum((PreFinal!G31/PreFinal!$G$19)*50)+50),0)))</f>
        <v/>
      </c>
      <c r="AM31" s="217"/>
      <c r="AN31" s="4"/>
    </row>
    <row r="32" ht="26.25" customHeight="1">
      <c r="A32" s="225"/>
      <c r="B32" s="225"/>
      <c r="C32" s="226">
        <v>13.0</v>
      </c>
      <c r="D32" s="227" t="str">
        <f>Prelim!$B32</f>
        <v/>
      </c>
      <c r="E32" s="228"/>
      <c r="F32" s="229">
        <f t="shared" si="1"/>
        <v>0</v>
      </c>
      <c r="G32" s="229">
        <f>round(iferror((AVERAGE(Prelim!H32:K32)*MConfig!$D$15),)+iferror((average(Prelim!L32:O32)*MConfig!$D$16),)+iferror((average(Prelim!P32:S32)*MConfig!$D$17),),0)</f>
        <v>0</v>
      </c>
      <c r="H32" s="229">
        <f>round(sum(F32*MConfig!$E$13)+(G32*MConfig!$E$14),0)</f>
        <v>0</v>
      </c>
      <c r="I32" s="229" t="str">
        <f>  if(Prelim!T32="",,  (round(sum((Prelim!T32/Prelim!$T$19)*50)+50,0)))</f>
        <v/>
      </c>
      <c r="J32" s="230" t="str">
        <f>IF(I32="",,round(SUM((H32*MConfig!$F$12)+(I32*MConfig!$F$11)),0))</f>
        <v/>
      </c>
      <c r="K32" s="231" t="str">
        <f>IFNA(IF(Prelim!U32="DRP","DRP",vlookup(J32,MConfig!$B$25:$C$33,2)),"")</f>
        <v/>
      </c>
      <c r="L32" s="229">
        <f t="shared" si="2"/>
        <v>0</v>
      </c>
      <c r="M32" s="229">
        <f>round(iferror((AVERAGE(Midterm!H32:K32)*MConfig!$G$15),)+iferror((average(Midterm!L32:O32)*MConfig!$G$16),)+iferror((average(Midterm!P32:S32)*MConfig!$G$17),),0)</f>
        <v>0</v>
      </c>
      <c r="N32" s="232">
        <f>round(SUM(L32*MConfig!$H$13)+(M32*MConfig!$H$14),0)</f>
        <v>0</v>
      </c>
      <c r="O32" s="232" t="str">
        <f>IF(Midterm!T32="",, (round(sum((Midterm!T32/Midterm!$T$19)*50)+50,0)))</f>
        <v/>
      </c>
      <c r="P32" s="230" t="str">
        <f>IF(O32="",,round(SUM((N32*MConfig!$I$12)+(O32*MConfig!$I$11)),0))</f>
        <v/>
      </c>
      <c r="Q32" s="233" t="str">
        <f>IFNA(IF(Midterm!U32="DRP","DRP",vlookup(P32,MConfig!$B$25:$C$33,2)),"")</f>
        <v/>
      </c>
      <c r="R32" s="234">
        <f t="shared" si="3"/>
        <v>0</v>
      </c>
      <c r="S32" s="234">
        <f>round(iferror((AVERAGE(PreFinal!H32:K32)*MConfig!$J$15),)+iferror((average(PreFinal!L32:O32)*MConfig!$J$16),)+iferror((average(PreFinal!P32:S32)*MConfig!$J$17),)+((PreFinal!T32)*MConfig!$J$18),0)</f>
        <v>0</v>
      </c>
      <c r="T32" s="234">
        <f>ROUND(SUM(R32*MConfig!$K$13)+(S32*MConfig!$K$14),0)</f>
        <v>0</v>
      </c>
      <c r="U32" s="229" t="str">
        <f>IF(PreFinal!U32="",,(round(sum((PreFinal!U32/PreFinal!$U$19)*50)+50,0)))</f>
        <v/>
      </c>
      <c r="V32" s="230" t="str">
        <f t="shared" si="4"/>
        <v/>
      </c>
      <c r="W32" s="233" t="str">
        <f>IFNA(IF(PreFinal!V32="DRP","DRP",vlookup(V32,MConfig!$B$25:$C$33,2)),"")</f>
        <v/>
      </c>
      <c r="X32" s="216" t="str">
        <f>IF(Prelim!C32="",,(round((sum((Prelim!C32/Prelim!$C$19)*50)+50),0)))</f>
        <v/>
      </c>
      <c r="Y32" s="216" t="str">
        <f>IF(Prelim!D32="",,(round((sum((Prelim!D32/Prelim!$D$19)*50)+50),0)))</f>
        <v/>
      </c>
      <c r="Z32" s="216" t="str">
        <f>IF(Prelim!E32="",,round((sum((Prelim!E32/Prelim!$E$19)*50)+50),0))</f>
        <v/>
      </c>
      <c r="AA32" s="216" t="str">
        <f>IF(Prelim!F32="",,(round((sum((Prelim!F32/Prelim!$F$19)*50)+50),0)))</f>
        <v/>
      </c>
      <c r="AB32" s="216" t="str">
        <f>IF(Prelim!G32="",,(round((sum((Prelim!G32/Prelim!$G$19)*50)+50),0)))</f>
        <v/>
      </c>
      <c r="AC32" s="216" t="str">
        <f>IF(Midterm!C32="",,(round((sum((Midterm!C32/Midterm!$C$19)*50)+50),0)))</f>
        <v/>
      </c>
      <c r="AD32" s="216" t="str">
        <f>IF(Midterm!D32="",,(round((sum((Midterm!D32/Midterm!$D$19)*50)+50),0)))</f>
        <v/>
      </c>
      <c r="AE32" s="216" t="str">
        <f>IF(Midterm!E32="",,(round((sum((Midterm!E32/Midterm!$E$19)*50)+50),0)))</f>
        <v/>
      </c>
      <c r="AF32" s="216" t="str">
        <f>IF(Midterm!F32="",,(round((sum((Midterm!F32/Midterm!$F$19)*50)+50),0)))</f>
        <v/>
      </c>
      <c r="AG32" s="216" t="str">
        <f>IF(Midterm!G32="",,(round((sum((Midterm!G32/Midterm!$G$19)*50)+50),0)))</f>
        <v/>
      </c>
      <c r="AH32" s="216" t="str">
        <f>IF(PreFinal!C32="",,(round((sum((PreFinal!C32/PreFinal!$C$19)*50)+50),0)))</f>
        <v/>
      </c>
      <c r="AI32" s="216" t="str">
        <f>IF(PreFinal!D32="",,(round((sum((PreFinal!D32/PreFinal!$D$19)*50)+50),0)))</f>
        <v/>
      </c>
      <c r="AJ32" s="216" t="str">
        <f>IF(PreFinal!E32="",,(round((sum((PreFinal!E32/PreFinal!$E$19)*50)+50),0)))</f>
        <v/>
      </c>
      <c r="AK32" s="216" t="str">
        <f>IF(PreFinal!F32="",,(round((sum((PreFinal!F32/PreFinal!$F$19)*50)+50),0)))</f>
        <v/>
      </c>
      <c r="AL32" s="216" t="str">
        <f>IF(PreFinal!G32="",,(round((sum((PreFinal!G32/PreFinal!$G$19)*50)+50),0)))</f>
        <v/>
      </c>
      <c r="AM32" s="217"/>
      <c r="AN32" s="4"/>
    </row>
    <row r="33" ht="26.25" customHeight="1">
      <c r="A33" s="225"/>
      <c r="B33" s="225"/>
      <c r="C33" s="226">
        <v>14.0</v>
      </c>
      <c r="D33" s="227" t="str">
        <f>Prelim!$B33</f>
        <v/>
      </c>
      <c r="E33" s="228"/>
      <c r="F33" s="229">
        <f t="shared" si="1"/>
        <v>0</v>
      </c>
      <c r="G33" s="229">
        <f>round(iferror((AVERAGE(Prelim!H33:K33)*MConfig!$D$15),)+iferror((average(Prelim!L33:O33)*MConfig!$D$16),)+iferror((average(Prelim!P33:S33)*MConfig!$D$17),),0)</f>
        <v>0</v>
      </c>
      <c r="H33" s="229">
        <f>round(sum(F33*MConfig!$E$13)+(G33*MConfig!$E$14),0)</f>
        <v>0</v>
      </c>
      <c r="I33" s="229" t="str">
        <f>  if(Prelim!T33="",,  (round(sum((Prelim!T33/Prelim!$T$19)*50)+50,0)))</f>
        <v/>
      </c>
      <c r="J33" s="230" t="str">
        <f>IF(I33="",,round(SUM((H33*MConfig!$F$12)+(I33*MConfig!$F$11)),0))</f>
        <v/>
      </c>
      <c r="K33" s="231" t="str">
        <f>IFNA(IF(Prelim!U33="DRP","DRP",vlookup(J33,MConfig!$B$25:$C$33,2)),"")</f>
        <v/>
      </c>
      <c r="L33" s="229">
        <f t="shared" si="2"/>
        <v>0</v>
      </c>
      <c r="M33" s="229">
        <f>round(iferror((AVERAGE(Midterm!H33:K33)*MConfig!$G$15),)+iferror((average(Midterm!L33:O33)*MConfig!$G$16),)+iferror((average(Midterm!P33:S33)*MConfig!$G$17),),0)</f>
        <v>0</v>
      </c>
      <c r="N33" s="232">
        <f>round(SUM(L33*MConfig!$H$13)+(M33*MConfig!$H$14),0)</f>
        <v>0</v>
      </c>
      <c r="O33" s="232" t="str">
        <f>IF(Midterm!T33="",, (round(sum((Midterm!T33/Midterm!$T$19)*50)+50,0)))</f>
        <v/>
      </c>
      <c r="P33" s="230" t="str">
        <f>IF(O33="",,round(SUM((N33*MConfig!$I$12)+(O33*MConfig!$I$11)),0))</f>
        <v/>
      </c>
      <c r="Q33" s="233" t="str">
        <f>IFNA(IF(Midterm!U33="DRP","DRP",vlookup(P33,MConfig!$B$25:$C$33,2)),"")</f>
        <v/>
      </c>
      <c r="R33" s="234">
        <f t="shared" si="3"/>
        <v>0</v>
      </c>
      <c r="S33" s="234">
        <f>round(iferror((AVERAGE(PreFinal!H33:K33)*MConfig!$J$15),)+iferror((average(PreFinal!L33:O33)*MConfig!$J$16),)+iferror((average(PreFinal!P33:S33)*MConfig!$J$17),)+((PreFinal!T33)*MConfig!$J$18),0)</f>
        <v>0</v>
      </c>
      <c r="T33" s="234">
        <f>ROUND(SUM(R33*MConfig!$K$13)+(S33*MConfig!$K$14),0)</f>
        <v>0</v>
      </c>
      <c r="U33" s="229" t="str">
        <f>IF(PreFinal!U33="",,(round(sum((PreFinal!U33/PreFinal!$U$19)*50)+50,0)))</f>
        <v/>
      </c>
      <c r="V33" s="230" t="str">
        <f t="shared" si="4"/>
        <v/>
      </c>
      <c r="W33" s="233" t="str">
        <f>IFNA(IF(PreFinal!V33="DRP","DRP",vlookup(V33,MConfig!$B$25:$C$33,2)),"")</f>
        <v/>
      </c>
      <c r="X33" s="216" t="str">
        <f>IF(Prelim!C33="",,(round((sum((Prelim!C33/Prelim!$C$19)*50)+50),0)))</f>
        <v/>
      </c>
      <c r="Y33" s="216" t="str">
        <f>IF(Prelim!D33="",,(round((sum((Prelim!D33/Prelim!$D$19)*50)+50),0)))</f>
        <v/>
      </c>
      <c r="Z33" s="216" t="str">
        <f>IF(Prelim!E33="",,round((sum((Prelim!E33/Prelim!$E$19)*50)+50),0))</f>
        <v/>
      </c>
      <c r="AA33" s="216" t="str">
        <f>IF(Prelim!F33="",,(round((sum((Prelim!F33/Prelim!$F$19)*50)+50),0)))</f>
        <v/>
      </c>
      <c r="AB33" s="216" t="str">
        <f>IF(Prelim!G33="",,(round((sum((Prelim!G33/Prelim!$G$19)*50)+50),0)))</f>
        <v/>
      </c>
      <c r="AC33" s="216" t="str">
        <f>IF(Midterm!C33="",,(round((sum((Midterm!C33/Midterm!$C$19)*50)+50),0)))</f>
        <v/>
      </c>
      <c r="AD33" s="216" t="str">
        <f>IF(Midterm!D33="",,(round((sum((Midterm!D33/Midterm!$D$19)*50)+50),0)))</f>
        <v/>
      </c>
      <c r="AE33" s="216" t="str">
        <f>IF(Midterm!E33="",,(round((sum((Midterm!E33/Midterm!$E$19)*50)+50),0)))</f>
        <v/>
      </c>
      <c r="AF33" s="216" t="str">
        <f>IF(Midterm!F33="",,(round((sum((Midterm!F33/Midterm!$F$19)*50)+50),0)))</f>
        <v/>
      </c>
      <c r="AG33" s="216" t="str">
        <f>IF(Midterm!G33="",,(round((sum((Midterm!G33/Midterm!$G$19)*50)+50),0)))</f>
        <v/>
      </c>
      <c r="AH33" s="216" t="str">
        <f>IF(PreFinal!C33="",,(round((sum((PreFinal!C33/PreFinal!$C$19)*50)+50),0)))</f>
        <v/>
      </c>
      <c r="AI33" s="216" t="str">
        <f>IF(PreFinal!D33="",,(round((sum((PreFinal!D33/PreFinal!$D$19)*50)+50),0)))</f>
        <v/>
      </c>
      <c r="AJ33" s="216" t="str">
        <f>IF(PreFinal!E33="",,(round((sum((PreFinal!E33/PreFinal!$E$19)*50)+50),0)))</f>
        <v/>
      </c>
      <c r="AK33" s="216" t="str">
        <f>IF(PreFinal!F33="",,(round((sum((PreFinal!F33/PreFinal!$F$19)*50)+50),0)))</f>
        <v/>
      </c>
      <c r="AL33" s="216" t="str">
        <f>IF(PreFinal!G33="",,(round((sum((PreFinal!G33/PreFinal!$G$19)*50)+50),0)))</f>
        <v/>
      </c>
      <c r="AM33" s="217"/>
      <c r="AN33" s="4"/>
    </row>
    <row r="34" ht="26.25" customHeight="1">
      <c r="A34" s="225"/>
      <c r="B34" s="225"/>
      <c r="C34" s="226">
        <v>15.0</v>
      </c>
      <c r="D34" s="227" t="str">
        <f>Prelim!$B34</f>
        <v/>
      </c>
      <c r="E34" s="228"/>
      <c r="F34" s="229">
        <f t="shared" si="1"/>
        <v>0</v>
      </c>
      <c r="G34" s="229">
        <f>round(iferror((AVERAGE(Prelim!H34:K34)*MConfig!$D$15),)+iferror((average(Prelim!L34:O34)*MConfig!$D$16),)+iferror((average(Prelim!P34:S34)*MConfig!$D$17),),0)</f>
        <v>0</v>
      </c>
      <c r="H34" s="229">
        <f>round(sum(F34*MConfig!$E$13)+(G34*MConfig!$E$14),0)</f>
        <v>0</v>
      </c>
      <c r="I34" s="229" t="str">
        <f>  if(Prelim!T34="",,  (round(sum((Prelim!T34/Prelim!$T$19)*50)+50,0)))</f>
        <v/>
      </c>
      <c r="J34" s="230" t="str">
        <f>IF(I34="",,round(SUM((H34*MConfig!$F$12)+(I34*MConfig!$F$11)),0))</f>
        <v/>
      </c>
      <c r="K34" s="231" t="str">
        <f>IFNA(IF(Prelim!U34="DRP","DRP",vlookup(J34,MConfig!$B$25:$C$33,2)),"")</f>
        <v/>
      </c>
      <c r="L34" s="229">
        <f t="shared" si="2"/>
        <v>0</v>
      </c>
      <c r="M34" s="229">
        <f>round(iferror((AVERAGE(Midterm!H34:K34)*MConfig!$G$15),)+iferror((average(Midterm!L34:O34)*MConfig!$G$16),)+iferror((average(Midterm!P34:S34)*MConfig!$G$17),),0)</f>
        <v>0</v>
      </c>
      <c r="N34" s="232">
        <f>round(SUM(L34*MConfig!$H$13)+(M34*MConfig!$H$14),0)</f>
        <v>0</v>
      </c>
      <c r="O34" s="232" t="str">
        <f>IF(Midterm!T34="",, (round(sum((Midterm!T34/Midterm!$T$19)*50)+50,0)))</f>
        <v/>
      </c>
      <c r="P34" s="230" t="str">
        <f>IF(O34="",,round(SUM((N34*MConfig!$I$12)+(O34*MConfig!$I$11)),0))</f>
        <v/>
      </c>
      <c r="Q34" s="233" t="str">
        <f>IFNA(IF(Midterm!U34="DRP","DRP",vlookup(P34,MConfig!$B$25:$C$33,2)),"")</f>
        <v/>
      </c>
      <c r="R34" s="234">
        <f t="shared" si="3"/>
        <v>0</v>
      </c>
      <c r="S34" s="234">
        <f>round(iferror((AVERAGE(PreFinal!H34:K34)*MConfig!$J$15),)+iferror((average(PreFinal!L34:O34)*MConfig!$J$16),)+iferror((average(PreFinal!P34:S34)*MConfig!$J$17),)+((PreFinal!T34)*MConfig!$J$18),0)</f>
        <v>0</v>
      </c>
      <c r="T34" s="234">
        <f>ROUND(SUM(R34*MConfig!$K$13)+(S34*MConfig!$K$14),0)</f>
        <v>0</v>
      </c>
      <c r="U34" s="229" t="str">
        <f>IF(PreFinal!U34="",,(round(sum((PreFinal!U34/PreFinal!$U$19)*50)+50,0)))</f>
        <v/>
      </c>
      <c r="V34" s="230" t="str">
        <f t="shared" si="4"/>
        <v/>
      </c>
      <c r="W34" s="233" t="str">
        <f>IFNA(IF(PreFinal!V34="DRP","DRP",vlookup(V34,MConfig!$B$25:$C$33,2)),"")</f>
        <v/>
      </c>
      <c r="X34" s="216" t="str">
        <f>IF(Prelim!C34="",,(round((sum((Prelim!C34/Prelim!$C$19)*50)+50),0)))</f>
        <v/>
      </c>
      <c r="Y34" s="216" t="str">
        <f>IF(Prelim!D34="",,(round((sum((Prelim!D34/Prelim!$D$19)*50)+50),0)))</f>
        <v/>
      </c>
      <c r="Z34" s="216" t="str">
        <f>IF(Prelim!E34="",,round((sum((Prelim!E34/Prelim!$E$19)*50)+50),0))</f>
        <v/>
      </c>
      <c r="AA34" s="216" t="str">
        <f>IF(Prelim!F34="",,(round((sum((Prelim!F34/Prelim!$F$19)*50)+50),0)))</f>
        <v/>
      </c>
      <c r="AB34" s="216" t="str">
        <f>IF(Prelim!G34="",,(round((sum((Prelim!G34/Prelim!$G$19)*50)+50),0)))</f>
        <v/>
      </c>
      <c r="AC34" s="216" t="str">
        <f>IF(Midterm!C34="",,(round((sum((Midterm!C34/Midterm!$C$19)*50)+50),0)))</f>
        <v/>
      </c>
      <c r="AD34" s="216" t="str">
        <f>IF(Midterm!D34="",,(round((sum((Midterm!D34/Midterm!$D$19)*50)+50),0)))</f>
        <v/>
      </c>
      <c r="AE34" s="216" t="str">
        <f>IF(Midterm!E34="",,(round((sum((Midterm!E34/Midterm!$E$19)*50)+50),0)))</f>
        <v/>
      </c>
      <c r="AF34" s="216" t="str">
        <f>IF(Midterm!F34="",,(round((sum((Midterm!F34/Midterm!$F$19)*50)+50),0)))</f>
        <v/>
      </c>
      <c r="AG34" s="216" t="str">
        <f>IF(Midterm!G34="",,(round((sum((Midterm!G34/Midterm!$G$19)*50)+50),0)))</f>
        <v/>
      </c>
      <c r="AH34" s="216" t="str">
        <f>IF(PreFinal!C34="",,(round((sum((PreFinal!C34/PreFinal!$C$19)*50)+50),0)))</f>
        <v/>
      </c>
      <c r="AI34" s="216" t="str">
        <f>IF(PreFinal!D34="",,(round((sum((PreFinal!D34/PreFinal!$D$19)*50)+50),0)))</f>
        <v/>
      </c>
      <c r="AJ34" s="216" t="str">
        <f>IF(PreFinal!E34="",,(round((sum((PreFinal!E34/PreFinal!$E$19)*50)+50),0)))</f>
        <v/>
      </c>
      <c r="AK34" s="216" t="str">
        <f>IF(PreFinal!F34="",,(round((sum((PreFinal!F34/PreFinal!$F$19)*50)+50),0)))</f>
        <v/>
      </c>
      <c r="AL34" s="216" t="str">
        <f>IF(PreFinal!G34="",,(round((sum((PreFinal!G34/PreFinal!$G$19)*50)+50),0)))</f>
        <v/>
      </c>
      <c r="AM34" s="217"/>
      <c r="AN34" s="4"/>
    </row>
    <row r="35" ht="26.25" customHeight="1">
      <c r="A35" s="225"/>
      <c r="B35" s="225"/>
      <c r="C35" s="226">
        <v>16.0</v>
      </c>
      <c r="D35" s="227" t="str">
        <f>Prelim!$B35</f>
        <v/>
      </c>
      <c r="E35" s="228"/>
      <c r="F35" s="229">
        <f t="shared" si="1"/>
        <v>0</v>
      </c>
      <c r="G35" s="229">
        <f>round(iferror((AVERAGE(Prelim!H35:K35)*MConfig!$D$15),)+iferror((average(Prelim!L35:O35)*MConfig!$D$16),)+iferror((average(Prelim!P35:S35)*MConfig!$D$17),),0)</f>
        <v>0</v>
      </c>
      <c r="H35" s="229">
        <f>round(sum(F35*MConfig!$E$13)+(G35*MConfig!$E$14),0)</f>
        <v>0</v>
      </c>
      <c r="I35" s="229" t="str">
        <f>  if(Prelim!T35="",,  (round(sum((Prelim!T35/Prelim!$T$19)*50)+50,0)))</f>
        <v/>
      </c>
      <c r="J35" s="230" t="str">
        <f>IF(I35="",,round(SUM((H35*MConfig!$F$12)+(I35*MConfig!$F$11)),0))</f>
        <v/>
      </c>
      <c r="K35" s="231" t="str">
        <f>IFNA(IF(Prelim!U35="DRP","DRP",vlookup(J35,MConfig!$B$25:$C$33,2)),"")</f>
        <v/>
      </c>
      <c r="L35" s="229">
        <f t="shared" si="2"/>
        <v>0</v>
      </c>
      <c r="M35" s="229">
        <f>round(iferror((AVERAGE(Midterm!H35:K35)*MConfig!$G$15),)+iferror((average(Midterm!L35:O35)*MConfig!$G$16),)+iferror((average(Midterm!P35:S35)*MConfig!$G$17),),0)</f>
        <v>0</v>
      </c>
      <c r="N35" s="232">
        <f>round(SUM(L35*MConfig!$H$13)+(M35*MConfig!$H$14),0)</f>
        <v>0</v>
      </c>
      <c r="O35" s="232" t="str">
        <f>IF(Midterm!T35="",, (round(sum((Midterm!T35/Midterm!$T$19)*50)+50,0)))</f>
        <v/>
      </c>
      <c r="P35" s="230" t="str">
        <f>IF(O35="",,round(SUM((N35*MConfig!$I$12)+(O35*MConfig!$I$11)),0))</f>
        <v/>
      </c>
      <c r="Q35" s="233" t="str">
        <f>IFNA(IF(Midterm!U35="DRP","DRP",vlookup(P35,MConfig!$B$25:$C$33,2)),"")</f>
        <v/>
      </c>
      <c r="R35" s="234">
        <f t="shared" si="3"/>
        <v>0</v>
      </c>
      <c r="S35" s="234">
        <f>round(iferror((AVERAGE(PreFinal!H35:K35)*MConfig!$J$15),)+iferror((average(PreFinal!L35:O35)*MConfig!$J$16),)+iferror((average(PreFinal!P35:S35)*MConfig!$J$17),)+((PreFinal!T35)*MConfig!$J$18),0)</f>
        <v>0</v>
      </c>
      <c r="T35" s="234">
        <f>ROUND(SUM(R35*MConfig!$K$13)+(S35*MConfig!$K$14),0)</f>
        <v>0</v>
      </c>
      <c r="U35" s="229" t="str">
        <f>IF(PreFinal!U35="",,(round(sum((PreFinal!U35/PreFinal!$U$19)*50)+50,0)))</f>
        <v/>
      </c>
      <c r="V35" s="230" t="str">
        <f t="shared" si="4"/>
        <v/>
      </c>
      <c r="W35" s="233" t="str">
        <f>IFNA(IF(PreFinal!V35="DRP","DRP",vlookup(V35,MConfig!$B$25:$C$33,2)),"")</f>
        <v/>
      </c>
      <c r="X35" s="216" t="str">
        <f>IF(Prelim!C35="",,(round((sum((Prelim!C35/Prelim!$C$19)*50)+50),0)))</f>
        <v/>
      </c>
      <c r="Y35" s="216" t="str">
        <f>IF(Prelim!D35="",,(round((sum((Prelim!D35/Prelim!$D$19)*50)+50),0)))</f>
        <v/>
      </c>
      <c r="Z35" s="216" t="str">
        <f>IF(Prelim!E35="",,round((sum((Prelim!E35/Prelim!$E$19)*50)+50),0))</f>
        <v/>
      </c>
      <c r="AA35" s="216" t="str">
        <f>IF(Prelim!F35="",,(round((sum((Prelim!F35/Prelim!$F$19)*50)+50),0)))</f>
        <v/>
      </c>
      <c r="AB35" s="216" t="str">
        <f>IF(Prelim!G35="",,(round((sum((Prelim!G35/Prelim!$G$19)*50)+50),0)))</f>
        <v/>
      </c>
      <c r="AC35" s="216" t="str">
        <f>IF(Midterm!C35="",,(round((sum((Midterm!C35/Midterm!$C$19)*50)+50),0)))</f>
        <v/>
      </c>
      <c r="AD35" s="216" t="str">
        <f>IF(Midterm!D35="",,(round((sum((Midterm!D35/Midterm!$D$19)*50)+50),0)))</f>
        <v/>
      </c>
      <c r="AE35" s="216" t="str">
        <f>IF(Midterm!E35="",,(round((sum((Midterm!E35/Midterm!$E$19)*50)+50),0)))</f>
        <v/>
      </c>
      <c r="AF35" s="216" t="str">
        <f>IF(Midterm!F35="",,(round((sum((Midterm!F35/Midterm!$F$19)*50)+50),0)))</f>
        <v/>
      </c>
      <c r="AG35" s="216" t="str">
        <f>IF(Midterm!G35="",,(round((sum((Midterm!G35/Midterm!$G$19)*50)+50),0)))</f>
        <v/>
      </c>
      <c r="AH35" s="216" t="str">
        <f>IF(PreFinal!C35="",,(round((sum((PreFinal!C35/PreFinal!$C$19)*50)+50),0)))</f>
        <v/>
      </c>
      <c r="AI35" s="216" t="str">
        <f>IF(PreFinal!D35="",,(round((sum((PreFinal!D35/PreFinal!$D$19)*50)+50),0)))</f>
        <v/>
      </c>
      <c r="AJ35" s="216" t="str">
        <f>IF(PreFinal!E35="",,(round((sum((PreFinal!E35/PreFinal!$E$19)*50)+50),0)))</f>
        <v/>
      </c>
      <c r="AK35" s="216" t="str">
        <f>IF(PreFinal!F35="",,(round((sum((PreFinal!F35/PreFinal!$F$19)*50)+50),0)))</f>
        <v/>
      </c>
      <c r="AL35" s="216" t="str">
        <f>IF(PreFinal!G35="",,(round((sum((PreFinal!G35/PreFinal!$G$19)*50)+50),0)))</f>
        <v/>
      </c>
      <c r="AM35" s="217"/>
      <c r="AN35" s="4"/>
    </row>
    <row r="36" ht="26.25" customHeight="1">
      <c r="A36" s="225"/>
      <c r="B36" s="225"/>
      <c r="C36" s="226">
        <v>17.0</v>
      </c>
      <c r="D36" s="227" t="str">
        <f>Prelim!$B36</f>
        <v/>
      </c>
      <c r="E36" s="228"/>
      <c r="F36" s="229">
        <f t="shared" si="1"/>
        <v>0</v>
      </c>
      <c r="G36" s="229">
        <f>round(iferror((AVERAGE(Prelim!H36:K36)*MConfig!$D$15),)+iferror((average(Prelim!L36:O36)*MConfig!$D$16),)+iferror((average(Prelim!P36:S36)*MConfig!$D$17),),0)</f>
        <v>0</v>
      </c>
      <c r="H36" s="229">
        <f>round(sum(F36*MConfig!$E$13)+(G36*MConfig!$E$14),0)</f>
        <v>0</v>
      </c>
      <c r="I36" s="229" t="str">
        <f>  if(Prelim!T36="",,  (round(sum((Prelim!T36/Prelim!$T$19)*50)+50,0)))</f>
        <v/>
      </c>
      <c r="J36" s="230" t="str">
        <f>IF(I36="",,round(SUM((H36*MConfig!$F$12)+(I36*MConfig!$F$11)),0))</f>
        <v/>
      </c>
      <c r="K36" s="231" t="str">
        <f>IFNA(IF(Prelim!U36="DRP","DRP",vlookup(J36,MConfig!$B$25:$C$33,2)),"")</f>
        <v/>
      </c>
      <c r="L36" s="229">
        <f t="shared" si="2"/>
        <v>0</v>
      </c>
      <c r="M36" s="229">
        <f>round(iferror((AVERAGE(Midterm!H36:K36)*MConfig!$G$15),)+iferror((average(Midterm!L36:O36)*MConfig!$G$16),)+iferror((average(Midterm!P36:S36)*MConfig!$G$17),),0)</f>
        <v>0</v>
      </c>
      <c r="N36" s="232">
        <f>round(SUM(L36*MConfig!$H$13)+(M36*MConfig!$H$14),0)</f>
        <v>0</v>
      </c>
      <c r="O36" s="232" t="str">
        <f>IF(Midterm!T36="",, (round(sum((Midterm!T36/Midterm!$T$19)*50)+50,0)))</f>
        <v/>
      </c>
      <c r="P36" s="230" t="str">
        <f>IF(O36="",,round(SUM((N36*MConfig!$I$12)+(O36*MConfig!$I$11)),0))</f>
        <v/>
      </c>
      <c r="Q36" s="233" t="str">
        <f>IFNA(IF(Midterm!U36="DRP","DRP",vlookup(P36,MConfig!$B$25:$C$33,2)),"")</f>
        <v/>
      </c>
      <c r="R36" s="234">
        <f t="shared" si="3"/>
        <v>0</v>
      </c>
      <c r="S36" s="234">
        <f>round(iferror((AVERAGE(PreFinal!H36:K36)*MConfig!$J$15),)+iferror((average(PreFinal!L36:O36)*MConfig!$J$16),)+iferror((average(PreFinal!P36:S36)*MConfig!$J$17),)+((PreFinal!T36)*MConfig!$J$18),0)</f>
        <v>0</v>
      </c>
      <c r="T36" s="234">
        <f>ROUND(SUM(R36*MConfig!$K$13)+(S36*MConfig!$K$14),0)</f>
        <v>0</v>
      </c>
      <c r="U36" s="229" t="str">
        <f>IF(PreFinal!U36="",,(round(sum((PreFinal!U36/PreFinal!$U$19)*50)+50,0)))</f>
        <v/>
      </c>
      <c r="V36" s="230" t="str">
        <f t="shared" si="4"/>
        <v/>
      </c>
      <c r="W36" s="233" t="str">
        <f>IFNA(IF(PreFinal!V36="DRP","DRP",vlookup(V36,MConfig!$B$25:$C$33,2)),"")</f>
        <v/>
      </c>
      <c r="X36" s="216" t="str">
        <f>IF(Prelim!C36="",,(round((sum((Prelim!C36/Prelim!$C$19)*50)+50),0)))</f>
        <v/>
      </c>
      <c r="Y36" s="216" t="str">
        <f>IF(Prelim!D36="",,(round((sum((Prelim!D36/Prelim!$D$19)*50)+50),0)))</f>
        <v/>
      </c>
      <c r="Z36" s="216" t="str">
        <f>IF(Prelim!E36="",,round((sum((Prelim!E36/Prelim!$E$19)*50)+50),0))</f>
        <v/>
      </c>
      <c r="AA36" s="216" t="str">
        <f>IF(Prelim!F36="",,(round((sum((Prelim!F36/Prelim!$F$19)*50)+50),0)))</f>
        <v/>
      </c>
      <c r="AB36" s="216" t="str">
        <f>IF(Prelim!G36="",,(round((sum((Prelim!G36/Prelim!$G$19)*50)+50),0)))</f>
        <v/>
      </c>
      <c r="AC36" s="216" t="str">
        <f>IF(Midterm!C36="",,(round((sum((Midterm!C36/Midterm!$C$19)*50)+50),0)))</f>
        <v/>
      </c>
      <c r="AD36" s="216" t="str">
        <f>IF(Midterm!D36="",,(round((sum((Midterm!D36/Midterm!$D$19)*50)+50),0)))</f>
        <v/>
      </c>
      <c r="AE36" s="216" t="str">
        <f>IF(Midterm!E36="",,(round((sum((Midterm!E36/Midterm!$E$19)*50)+50),0)))</f>
        <v/>
      </c>
      <c r="AF36" s="216" t="str">
        <f>IF(Midterm!F36="",,(round((sum((Midterm!F36/Midterm!$F$19)*50)+50),0)))</f>
        <v/>
      </c>
      <c r="AG36" s="216" t="str">
        <f>IF(Midterm!G36="",,(round((sum((Midterm!G36/Midterm!$G$19)*50)+50),0)))</f>
        <v/>
      </c>
      <c r="AH36" s="216" t="str">
        <f>IF(PreFinal!C36="",,(round((sum((PreFinal!C36/PreFinal!$C$19)*50)+50),0)))</f>
        <v/>
      </c>
      <c r="AI36" s="216" t="str">
        <f>IF(PreFinal!D36="",,(round((sum((PreFinal!D36/PreFinal!$D$19)*50)+50),0)))</f>
        <v/>
      </c>
      <c r="AJ36" s="216" t="str">
        <f>IF(PreFinal!E36="",,(round((sum((PreFinal!E36/PreFinal!$E$19)*50)+50),0)))</f>
        <v/>
      </c>
      <c r="AK36" s="216" t="str">
        <f>IF(PreFinal!F36="",,(round((sum((PreFinal!F36/PreFinal!$F$19)*50)+50),0)))</f>
        <v/>
      </c>
      <c r="AL36" s="216" t="str">
        <f>IF(PreFinal!G36="",,(round((sum((PreFinal!G36/PreFinal!$G$19)*50)+50),0)))</f>
        <v/>
      </c>
      <c r="AM36" s="217"/>
      <c r="AN36" s="4"/>
    </row>
    <row r="37" ht="26.25" customHeight="1">
      <c r="A37" s="225"/>
      <c r="B37" s="225"/>
      <c r="C37" s="226">
        <v>18.0</v>
      </c>
      <c r="D37" s="227" t="str">
        <f>Prelim!$B37</f>
        <v/>
      </c>
      <c r="E37" s="228"/>
      <c r="F37" s="229">
        <f t="shared" si="1"/>
        <v>0</v>
      </c>
      <c r="G37" s="229">
        <f>round(iferror((AVERAGE(Prelim!H37:K37)*MConfig!$D$15),)+iferror((average(Prelim!L37:O37)*MConfig!$D$16),)+iferror((average(Prelim!P37:S37)*MConfig!$D$17),),0)</f>
        <v>0</v>
      </c>
      <c r="H37" s="229">
        <f>round(sum(F37*MConfig!$E$13)+(G37*MConfig!$E$14),0)</f>
        <v>0</v>
      </c>
      <c r="I37" s="229" t="str">
        <f>  if(Prelim!T37="",,  (round(sum((Prelim!T37/Prelim!$T$19)*50)+50,0)))</f>
        <v/>
      </c>
      <c r="J37" s="230" t="str">
        <f>IF(I37="",,round(SUM((H37*MConfig!$F$12)+(I37*MConfig!$F$11)),0))</f>
        <v/>
      </c>
      <c r="K37" s="231" t="str">
        <f>IFNA(IF(Prelim!U37="DRP","DRP",vlookup(J37,MConfig!$B$25:$C$33,2)),"")</f>
        <v/>
      </c>
      <c r="L37" s="229">
        <f t="shared" si="2"/>
        <v>0</v>
      </c>
      <c r="M37" s="229">
        <f>round(iferror((AVERAGE(Midterm!H37:K37)*MConfig!$G$15),)+iferror((average(Midterm!L37:O37)*MConfig!$G$16),)+iferror((average(Midterm!P37:S37)*MConfig!$G$17),),0)</f>
        <v>0</v>
      </c>
      <c r="N37" s="232">
        <f>round(SUM(L37*MConfig!$H$13)+(M37*MConfig!$H$14),0)</f>
        <v>0</v>
      </c>
      <c r="O37" s="232" t="str">
        <f>IF(Midterm!T37="",, (round(sum((Midterm!T37/Midterm!$T$19)*50)+50,0)))</f>
        <v/>
      </c>
      <c r="P37" s="230" t="str">
        <f>IF(O37="",,round(SUM((N37*MConfig!$I$12)+(O37*MConfig!$I$11)),0))</f>
        <v/>
      </c>
      <c r="Q37" s="233" t="str">
        <f>IFNA(IF(Midterm!U37="DRP","DRP",vlookup(P37,MConfig!$B$25:$C$33,2)),"")</f>
        <v/>
      </c>
      <c r="R37" s="234">
        <f t="shared" si="3"/>
        <v>0</v>
      </c>
      <c r="S37" s="234">
        <f>round(iferror((AVERAGE(PreFinal!H37:K37)*MConfig!$J$15),)+iferror((average(PreFinal!L37:O37)*MConfig!$J$16),)+iferror((average(PreFinal!P37:S37)*MConfig!$J$17),)+((PreFinal!T37)*MConfig!$J$18),0)</f>
        <v>0</v>
      </c>
      <c r="T37" s="234">
        <f>ROUND(SUM(R37*MConfig!$K$13)+(S37*MConfig!$K$14),0)</f>
        <v>0</v>
      </c>
      <c r="U37" s="229" t="str">
        <f>IF(PreFinal!U37="",,(round(sum((PreFinal!U37/PreFinal!$U$19)*50)+50,0)))</f>
        <v/>
      </c>
      <c r="V37" s="230" t="str">
        <f t="shared" si="4"/>
        <v/>
      </c>
      <c r="W37" s="233" t="str">
        <f>IFNA(IF(PreFinal!V37="DRP","DRP",vlookup(V37,MConfig!$B$25:$C$33,2)),"")</f>
        <v/>
      </c>
      <c r="X37" s="216" t="str">
        <f>IF(Prelim!C37="",,(round((sum((Prelim!C37/Prelim!$C$19)*50)+50),0)))</f>
        <v/>
      </c>
      <c r="Y37" s="216" t="str">
        <f>IF(Prelim!D37="",,(round((sum((Prelim!D37/Prelim!$D$19)*50)+50),0)))</f>
        <v/>
      </c>
      <c r="Z37" s="216" t="str">
        <f>IF(Prelim!E37="",,round((sum((Prelim!E37/Prelim!$E$19)*50)+50),0))</f>
        <v/>
      </c>
      <c r="AA37" s="216" t="str">
        <f>IF(Prelim!F37="",,(round((sum((Prelim!F37/Prelim!$F$19)*50)+50),0)))</f>
        <v/>
      </c>
      <c r="AB37" s="216" t="str">
        <f>IF(Prelim!G37="",,(round((sum((Prelim!G37/Prelim!$G$19)*50)+50),0)))</f>
        <v/>
      </c>
      <c r="AC37" s="216" t="str">
        <f>IF(Midterm!C37="",,(round((sum((Midterm!C37/Midterm!$C$19)*50)+50),0)))</f>
        <v/>
      </c>
      <c r="AD37" s="216" t="str">
        <f>IF(Midterm!D37="",,(round((sum((Midterm!D37/Midterm!$D$19)*50)+50),0)))</f>
        <v/>
      </c>
      <c r="AE37" s="216" t="str">
        <f>IF(Midterm!E37="",,(round((sum((Midterm!E37/Midterm!$E$19)*50)+50),0)))</f>
        <v/>
      </c>
      <c r="AF37" s="216" t="str">
        <f>IF(Midterm!F37="",,(round((sum((Midterm!F37/Midterm!$F$19)*50)+50),0)))</f>
        <v/>
      </c>
      <c r="AG37" s="216" t="str">
        <f>IF(Midterm!G37="",,(round((sum((Midterm!G37/Midterm!$G$19)*50)+50),0)))</f>
        <v/>
      </c>
      <c r="AH37" s="216" t="str">
        <f>IF(PreFinal!C37="",,(round((sum((PreFinal!C37/PreFinal!$C$19)*50)+50),0)))</f>
        <v/>
      </c>
      <c r="AI37" s="216" t="str">
        <f>IF(PreFinal!D37="",,(round((sum((PreFinal!D37/PreFinal!$D$19)*50)+50),0)))</f>
        <v/>
      </c>
      <c r="AJ37" s="216" t="str">
        <f>IF(PreFinal!E37="",,(round((sum((PreFinal!E37/PreFinal!$E$19)*50)+50),0)))</f>
        <v/>
      </c>
      <c r="AK37" s="216" t="str">
        <f>IF(PreFinal!F37="",,(round((sum((PreFinal!F37/PreFinal!$F$19)*50)+50),0)))</f>
        <v/>
      </c>
      <c r="AL37" s="216" t="str">
        <f>IF(PreFinal!G37="",,(round((sum((PreFinal!G37/PreFinal!$G$19)*50)+50),0)))</f>
        <v/>
      </c>
      <c r="AM37" s="217"/>
      <c r="AN37" s="4"/>
    </row>
    <row r="38" ht="26.25" customHeight="1">
      <c r="A38" s="225"/>
      <c r="B38" s="225"/>
      <c r="C38" s="226">
        <v>19.0</v>
      </c>
      <c r="D38" s="227" t="str">
        <f>Prelim!$B38</f>
        <v/>
      </c>
      <c r="E38" s="228"/>
      <c r="F38" s="229">
        <f t="shared" si="1"/>
        <v>0</v>
      </c>
      <c r="G38" s="229">
        <f>round(iferror((AVERAGE(Prelim!H38:K38)*MConfig!$D$15),)+iferror((average(Prelim!L38:O38)*MConfig!$D$16),)+iferror((average(Prelim!P38:S38)*MConfig!$D$17),),0)</f>
        <v>0</v>
      </c>
      <c r="H38" s="229">
        <f>round(sum(F38*MConfig!$E$13)+(G38*MConfig!$E$14),0)</f>
        <v>0</v>
      </c>
      <c r="I38" s="229" t="str">
        <f>  if(Prelim!T38="",,  (round(sum((Prelim!T38/Prelim!$T$19)*50)+50,0)))</f>
        <v/>
      </c>
      <c r="J38" s="230" t="str">
        <f>IF(I38="",,round(SUM((H38*MConfig!$F$12)+(I38*MConfig!$F$11)),0))</f>
        <v/>
      </c>
      <c r="K38" s="231" t="str">
        <f>IFNA(IF(Prelim!U38="DRP","DRP",vlookup(J38,MConfig!$B$25:$C$33,2)),"")</f>
        <v/>
      </c>
      <c r="L38" s="229">
        <f t="shared" si="2"/>
        <v>0</v>
      </c>
      <c r="M38" s="229">
        <f>round(iferror((AVERAGE(Midterm!H38:K38)*MConfig!$G$15),)+iferror((average(Midterm!L38:O38)*MConfig!$G$16),)+iferror((average(Midterm!P38:S38)*MConfig!$G$17),),0)</f>
        <v>0</v>
      </c>
      <c r="N38" s="232">
        <f>round(SUM(L38*MConfig!$H$13)+(M38*MConfig!$H$14),0)</f>
        <v>0</v>
      </c>
      <c r="O38" s="232" t="str">
        <f>IF(Midterm!T38="",, (round(sum((Midterm!T38/Midterm!$T$19)*50)+50,0)))</f>
        <v/>
      </c>
      <c r="P38" s="230" t="str">
        <f>IF(O38="",,round(SUM((N38*MConfig!$I$12)+(O38*MConfig!$I$11)),0))</f>
        <v/>
      </c>
      <c r="Q38" s="233" t="str">
        <f>IFNA(IF(Midterm!U38="DRP","DRP",vlookup(P38,MConfig!$B$25:$C$33,2)),"")</f>
        <v/>
      </c>
      <c r="R38" s="234">
        <f t="shared" si="3"/>
        <v>0</v>
      </c>
      <c r="S38" s="234">
        <f>round(iferror((AVERAGE(PreFinal!H38:K38)*MConfig!$J$15),)+iferror((average(PreFinal!L38:O38)*MConfig!$J$16),)+iferror((average(PreFinal!P38:S38)*MConfig!$J$17),)+((PreFinal!T38)*MConfig!$J$18),0)</f>
        <v>0</v>
      </c>
      <c r="T38" s="234">
        <f>ROUND(SUM(R38*MConfig!$K$13)+(S38*MConfig!$K$14),0)</f>
        <v>0</v>
      </c>
      <c r="U38" s="229" t="str">
        <f>IF(PreFinal!U38="",,(round(sum((PreFinal!U38/PreFinal!$U$19)*50)+50,0)))</f>
        <v/>
      </c>
      <c r="V38" s="230" t="str">
        <f t="shared" si="4"/>
        <v/>
      </c>
      <c r="W38" s="233" t="str">
        <f>IFNA(IF(PreFinal!V38="DRP","DRP",vlookup(V38,MConfig!$B$25:$C$33,2)),"")</f>
        <v/>
      </c>
      <c r="X38" s="216" t="str">
        <f>IF(Prelim!C38="",,(round((sum((Prelim!C38/Prelim!$C$19)*50)+50),0)))</f>
        <v/>
      </c>
      <c r="Y38" s="216" t="str">
        <f>IF(Prelim!D38="",,(round((sum((Prelim!D38/Prelim!$D$19)*50)+50),0)))</f>
        <v/>
      </c>
      <c r="Z38" s="216" t="str">
        <f>IF(Prelim!E38="",,round((sum((Prelim!E38/Prelim!$E$19)*50)+50),0))</f>
        <v/>
      </c>
      <c r="AA38" s="216" t="str">
        <f>IF(Prelim!F38="",,(round((sum((Prelim!F38/Prelim!$F$19)*50)+50),0)))</f>
        <v/>
      </c>
      <c r="AB38" s="216" t="str">
        <f>IF(Prelim!G38="",,(round((sum((Prelim!G38/Prelim!$G$19)*50)+50),0)))</f>
        <v/>
      </c>
      <c r="AC38" s="216" t="str">
        <f>IF(Midterm!C38="",,(round((sum((Midterm!C38/Midterm!$C$19)*50)+50),0)))</f>
        <v/>
      </c>
      <c r="AD38" s="216" t="str">
        <f>IF(Midterm!D38="",,(round((sum((Midterm!D38/Midterm!$D$19)*50)+50),0)))</f>
        <v/>
      </c>
      <c r="AE38" s="216" t="str">
        <f>IF(Midterm!E38="",,(round((sum((Midterm!E38/Midterm!$E$19)*50)+50),0)))</f>
        <v/>
      </c>
      <c r="AF38" s="216" t="str">
        <f>IF(Midterm!F38="",,(round((sum((Midterm!F38/Midterm!$F$19)*50)+50),0)))</f>
        <v/>
      </c>
      <c r="AG38" s="216" t="str">
        <f>IF(Midterm!G38="",,(round((sum((Midterm!G38/Midterm!$G$19)*50)+50),0)))</f>
        <v/>
      </c>
      <c r="AH38" s="216" t="str">
        <f>IF(PreFinal!C38="",,(round((sum((PreFinal!C38/PreFinal!$C$19)*50)+50),0)))</f>
        <v/>
      </c>
      <c r="AI38" s="216" t="str">
        <f>IF(PreFinal!D38="",,(round((sum((PreFinal!D38/PreFinal!$D$19)*50)+50),0)))</f>
        <v/>
      </c>
      <c r="AJ38" s="216" t="str">
        <f>IF(PreFinal!E38="",,(round((sum((PreFinal!E38/PreFinal!$E$19)*50)+50),0)))</f>
        <v/>
      </c>
      <c r="AK38" s="216" t="str">
        <f>IF(PreFinal!F38="",,(round((sum((PreFinal!F38/PreFinal!$F$19)*50)+50),0)))</f>
        <v/>
      </c>
      <c r="AL38" s="216" t="str">
        <f>IF(PreFinal!G38="",,(round((sum((PreFinal!G38/PreFinal!$G$19)*50)+50),0)))</f>
        <v/>
      </c>
      <c r="AM38" s="217"/>
      <c r="AN38" s="4"/>
    </row>
    <row r="39" ht="26.25" customHeight="1">
      <c r="A39" s="225"/>
      <c r="B39" s="225"/>
      <c r="C39" s="226">
        <v>20.0</v>
      </c>
      <c r="D39" s="227" t="str">
        <f>Prelim!$B39</f>
        <v/>
      </c>
      <c r="E39" s="228"/>
      <c r="F39" s="229">
        <f t="shared" si="1"/>
        <v>0</v>
      </c>
      <c r="G39" s="229">
        <f>round(iferror((AVERAGE(Prelim!H39:K39)*MConfig!$D$15),)+iferror((average(Prelim!L39:O39)*MConfig!$D$16),)+iferror((average(Prelim!P39:S39)*MConfig!$D$17),),0)</f>
        <v>0</v>
      </c>
      <c r="H39" s="229">
        <f>round(sum(F39*MConfig!$E$13)+(G39*MConfig!$E$14),0)</f>
        <v>0</v>
      </c>
      <c r="I39" s="229" t="str">
        <f>  if(Prelim!T39="",,  (round(sum((Prelim!T39/Prelim!$T$19)*50)+50,0)))</f>
        <v/>
      </c>
      <c r="J39" s="230" t="str">
        <f>IF(I39="",,round(SUM((H39*MConfig!$F$12)+(I39*MConfig!$F$11)),0))</f>
        <v/>
      </c>
      <c r="K39" s="231" t="str">
        <f>IFNA(IF(Prelim!U39="DRP","DRP",vlookup(J39,MConfig!$B$25:$C$33,2)),"")</f>
        <v/>
      </c>
      <c r="L39" s="229">
        <f t="shared" si="2"/>
        <v>0</v>
      </c>
      <c r="M39" s="229">
        <f>round(iferror((AVERAGE(Midterm!H39:K39)*MConfig!$G$15),)+iferror((average(Midterm!L39:O39)*MConfig!$G$16),)+iferror((average(Midterm!P39:S39)*MConfig!$G$17),),0)</f>
        <v>0</v>
      </c>
      <c r="N39" s="232">
        <f>round(SUM(L39*MConfig!$H$13)+(M39*MConfig!$H$14),0)</f>
        <v>0</v>
      </c>
      <c r="O39" s="232" t="str">
        <f>IF(Midterm!T39="",, (round(sum((Midterm!T39/Midterm!$T$19)*50)+50,0)))</f>
        <v/>
      </c>
      <c r="P39" s="230" t="str">
        <f>IF(O39="",,round(SUM((N39*MConfig!$I$12)+(O39*MConfig!$I$11)),0))</f>
        <v/>
      </c>
      <c r="Q39" s="233" t="str">
        <f>IFNA(IF(Midterm!U39="DRP","DRP",vlookup(P39,MConfig!$B$25:$C$33,2)),"")</f>
        <v/>
      </c>
      <c r="R39" s="234">
        <f t="shared" si="3"/>
        <v>0</v>
      </c>
      <c r="S39" s="234">
        <f>round(iferror((AVERAGE(PreFinal!H39:K39)*MConfig!$J$15),)+iferror((average(PreFinal!L39:O39)*MConfig!$J$16),)+iferror((average(PreFinal!P39:S39)*MConfig!$J$17),)+((PreFinal!T39)*MConfig!$J$18),0)</f>
        <v>0</v>
      </c>
      <c r="T39" s="234">
        <f>ROUND(SUM(R39*MConfig!$K$13)+(S39*MConfig!$K$14),0)</f>
        <v>0</v>
      </c>
      <c r="U39" s="229" t="str">
        <f>IF(PreFinal!U39="",,(round(sum((PreFinal!U39/PreFinal!$U$19)*50)+50,0)))</f>
        <v/>
      </c>
      <c r="V39" s="230" t="str">
        <f t="shared" si="4"/>
        <v/>
      </c>
      <c r="W39" s="233" t="str">
        <f>IFNA(IF(PreFinal!V39="DRP","DRP",vlookup(V39,MConfig!$B$25:$C$33,2)),"")</f>
        <v/>
      </c>
      <c r="X39" s="216" t="str">
        <f>IF(Prelim!C39="",,(round((sum((Prelim!C39/Prelim!$C$19)*50)+50),0)))</f>
        <v/>
      </c>
      <c r="Y39" s="216" t="str">
        <f>IF(Prelim!D39="",,(round((sum((Prelim!D39/Prelim!$D$19)*50)+50),0)))</f>
        <v/>
      </c>
      <c r="Z39" s="216" t="str">
        <f>IF(Prelim!E39="",,round((sum((Prelim!E39/Prelim!$E$19)*50)+50),0))</f>
        <v/>
      </c>
      <c r="AA39" s="216" t="str">
        <f>IF(Prelim!F39="",,(round((sum((Prelim!F39/Prelim!$F$19)*50)+50),0)))</f>
        <v/>
      </c>
      <c r="AB39" s="216" t="str">
        <f>IF(Prelim!G39="",,(round((sum((Prelim!G39/Prelim!$G$19)*50)+50),0)))</f>
        <v/>
      </c>
      <c r="AC39" s="216" t="str">
        <f>IF(Midterm!C39="",,(round((sum((Midterm!C39/Midterm!$C$19)*50)+50),0)))</f>
        <v/>
      </c>
      <c r="AD39" s="216" t="str">
        <f>IF(Midterm!D39="",,(round((sum((Midterm!D39/Midterm!$D$19)*50)+50),0)))</f>
        <v/>
      </c>
      <c r="AE39" s="216" t="str">
        <f>IF(Midterm!E39="",,(round((sum((Midterm!E39/Midterm!$E$19)*50)+50),0)))</f>
        <v/>
      </c>
      <c r="AF39" s="216" t="str">
        <f>IF(Midterm!F39="",,(round((sum((Midterm!F39/Midterm!$F$19)*50)+50),0)))</f>
        <v/>
      </c>
      <c r="AG39" s="216" t="str">
        <f>IF(Midterm!G39="",,(round((sum((Midterm!G39/Midterm!$G$19)*50)+50),0)))</f>
        <v/>
      </c>
      <c r="AH39" s="216" t="str">
        <f>IF(PreFinal!C39="",,(round((sum((PreFinal!C39/PreFinal!$C$19)*50)+50),0)))</f>
        <v/>
      </c>
      <c r="AI39" s="216" t="str">
        <f>IF(PreFinal!D39="",,(round((sum((PreFinal!D39/PreFinal!$D$19)*50)+50),0)))</f>
        <v/>
      </c>
      <c r="AJ39" s="216" t="str">
        <f>IF(PreFinal!E39="",,(round((sum((PreFinal!E39/PreFinal!$E$19)*50)+50),0)))</f>
        <v/>
      </c>
      <c r="AK39" s="216" t="str">
        <f>IF(PreFinal!F39="",,(round((sum((PreFinal!F39/PreFinal!$F$19)*50)+50),0)))</f>
        <v/>
      </c>
      <c r="AL39" s="216" t="str">
        <f>IF(PreFinal!G39="",,(round((sum((PreFinal!G39/PreFinal!$G$19)*50)+50),0)))</f>
        <v/>
      </c>
      <c r="AM39" s="217"/>
      <c r="AN39" s="4"/>
    </row>
    <row r="40" ht="26.25" customHeight="1">
      <c r="A40" s="225"/>
      <c r="B40" s="225"/>
      <c r="C40" s="226">
        <v>21.0</v>
      </c>
      <c r="D40" s="227" t="str">
        <f>Prelim!$B40</f>
        <v/>
      </c>
      <c r="E40" s="228"/>
      <c r="F40" s="229">
        <f t="shared" si="1"/>
        <v>0</v>
      </c>
      <c r="G40" s="229">
        <f>round(iferror((AVERAGE(Prelim!H40:K40)*MConfig!$D$15),)+iferror((average(Prelim!L40:O40)*MConfig!$D$16),)+iferror((average(Prelim!P40:S40)*MConfig!$D$17),),0)</f>
        <v>0</v>
      </c>
      <c r="H40" s="229">
        <f>round(sum(F40*MConfig!$E$13)+(G40*MConfig!$E$14),0)</f>
        <v>0</v>
      </c>
      <c r="I40" s="229" t="str">
        <f>  if(Prelim!T40="",,  (round(sum((Prelim!T40/Prelim!$T$19)*50)+50,0)))</f>
        <v/>
      </c>
      <c r="J40" s="230" t="str">
        <f>IF(I40="",,round(SUM((H40*MConfig!$F$12)+(I40*MConfig!$F$11)),0))</f>
        <v/>
      </c>
      <c r="K40" s="231" t="str">
        <f>IFNA(IF(Prelim!U40="DRP","DRP",vlookup(J40,MConfig!$B$25:$C$33,2)),"")</f>
        <v/>
      </c>
      <c r="L40" s="229">
        <f t="shared" si="2"/>
        <v>0</v>
      </c>
      <c r="M40" s="229">
        <f>round(iferror((AVERAGE(Midterm!H40:K40)*MConfig!$G$15),)+iferror((average(Midterm!L40:O40)*MConfig!$G$16),)+iferror((average(Midterm!P40:S40)*MConfig!$G$17),),0)</f>
        <v>0</v>
      </c>
      <c r="N40" s="232">
        <f>round(SUM(L40*MConfig!$H$13)+(M40*MConfig!$H$14),0)</f>
        <v>0</v>
      </c>
      <c r="O40" s="232" t="str">
        <f>IF(Midterm!T40="",, (round(sum((Midterm!T40/Midterm!$T$19)*50)+50,0)))</f>
        <v/>
      </c>
      <c r="P40" s="230" t="str">
        <f>IF(O40="",,round(SUM((N40*MConfig!$I$12)+(O40*MConfig!$I$11)),0))</f>
        <v/>
      </c>
      <c r="Q40" s="233" t="str">
        <f>IFNA(IF(Midterm!U40="DRP","DRP",vlookup(P40,MConfig!$B$25:$C$33,2)),"")</f>
        <v/>
      </c>
      <c r="R40" s="234">
        <f t="shared" si="3"/>
        <v>0</v>
      </c>
      <c r="S40" s="234">
        <f>round(iferror((AVERAGE(PreFinal!H40:K40)*MConfig!$J$15),)+iferror((average(PreFinal!L40:O40)*MConfig!$J$16),)+iferror((average(PreFinal!P40:S40)*MConfig!$J$17),)+((PreFinal!T40)*MConfig!$J$18),0)</f>
        <v>0</v>
      </c>
      <c r="T40" s="234">
        <f>ROUND(SUM(R40*MConfig!$K$13)+(S40*MConfig!$K$14),0)</f>
        <v>0</v>
      </c>
      <c r="U40" s="229" t="str">
        <f>IF(PreFinal!U40="",,(round(sum((PreFinal!U40/PreFinal!$U$19)*50)+50,0)))</f>
        <v/>
      </c>
      <c r="V40" s="230" t="str">
        <f t="shared" si="4"/>
        <v/>
      </c>
      <c r="W40" s="233" t="str">
        <f>IFNA(IF(PreFinal!V40="DRP","DRP",vlookup(V40,MConfig!$B$25:$C$33,2)),"")</f>
        <v/>
      </c>
      <c r="X40" s="216" t="str">
        <f>IF(Prelim!C40="",,(round((sum((Prelim!C40/Prelim!$C$19)*50)+50),0)))</f>
        <v/>
      </c>
      <c r="Y40" s="216" t="str">
        <f>IF(Prelim!D40="",,(round((sum((Prelim!D40/Prelim!$D$19)*50)+50),0)))</f>
        <v/>
      </c>
      <c r="Z40" s="216" t="str">
        <f>IF(Prelim!E40="",,round((sum((Prelim!E40/Prelim!$E$19)*50)+50),0))</f>
        <v/>
      </c>
      <c r="AA40" s="216" t="str">
        <f>IF(Prelim!F40="",,(round((sum((Prelim!F40/Prelim!$F$19)*50)+50),0)))</f>
        <v/>
      </c>
      <c r="AB40" s="216" t="str">
        <f>IF(Prelim!G40="",,(round((sum((Prelim!G40/Prelim!$G$19)*50)+50),0)))</f>
        <v/>
      </c>
      <c r="AC40" s="216" t="str">
        <f>IF(Midterm!C40="",,(round((sum((Midterm!C40/Midterm!$C$19)*50)+50),0)))</f>
        <v/>
      </c>
      <c r="AD40" s="216" t="str">
        <f>IF(Midterm!D40="",,(round((sum((Midterm!D40/Midterm!$D$19)*50)+50),0)))</f>
        <v/>
      </c>
      <c r="AE40" s="216" t="str">
        <f>IF(Midterm!E40="",,(round((sum((Midterm!E40/Midterm!$E$19)*50)+50),0)))</f>
        <v/>
      </c>
      <c r="AF40" s="216" t="str">
        <f>IF(Midterm!F40="",,(round((sum((Midterm!F40/Midterm!$F$19)*50)+50),0)))</f>
        <v/>
      </c>
      <c r="AG40" s="216" t="str">
        <f>IF(Midterm!G40="",,(round((sum((Midterm!G40/Midterm!$G$19)*50)+50),0)))</f>
        <v/>
      </c>
      <c r="AH40" s="216" t="str">
        <f>IF(PreFinal!C40="",,(round((sum((PreFinal!C40/PreFinal!$C$19)*50)+50),0)))</f>
        <v/>
      </c>
      <c r="AI40" s="216" t="str">
        <f>IF(PreFinal!D40="",,(round((sum((PreFinal!D40/PreFinal!$D$19)*50)+50),0)))</f>
        <v/>
      </c>
      <c r="AJ40" s="216" t="str">
        <f>IF(PreFinal!E40="",,(round((sum((PreFinal!E40/PreFinal!$E$19)*50)+50),0)))</f>
        <v/>
      </c>
      <c r="AK40" s="216" t="str">
        <f>IF(PreFinal!F40="",,(round((sum((PreFinal!F40/PreFinal!$F$19)*50)+50),0)))</f>
        <v/>
      </c>
      <c r="AL40" s="216" t="str">
        <f>IF(PreFinal!G40="",,(round((sum((PreFinal!G40/PreFinal!$G$19)*50)+50),0)))</f>
        <v/>
      </c>
      <c r="AM40" s="217"/>
      <c r="AN40" s="4"/>
    </row>
    <row r="41" ht="26.25" customHeight="1">
      <c r="A41" s="225"/>
      <c r="B41" s="225"/>
      <c r="C41" s="226">
        <v>22.0</v>
      </c>
      <c r="D41" s="227" t="str">
        <f>Prelim!$B41</f>
        <v/>
      </c>
      <c r="E41" s="228"/>
      <c r="F41" s="229">
        <f t="shared" si="1"/>
        <v>0</v>
      </c>
      <c r="G41" s="229">
        <f>round(iferror((AVERAGE(Prelim!H41:K41)*MConfig!$D$15),)+iferror((average(Prelim!L41:O41)*MConfig!$D$16),)+iferror((average(Prelim!P41:S41)*MConfig!$D$17),),0)</f>
        <v>0</v>
      </c>
      <c r="H41" s="229">
        <f>round(sum(F41*MConfig!$E$13)+(G41*MConfig!$E$14),0)</f>
        <v>0</v>
      </c>
      <c r="I41" s="229" t="str">
        <f>  if(Prelim!T41="",,  (round(sum((Prelim!T41/Prelim!$T$19)*50)+50,0)))</f>
        <v/>
      </c>
      <c r="J41" s="230" t="str">
        <f>IF(I41="",,round(SUM((H41*MConfig!$F$12)+(I41*MConfig!$F$11)),0))</f>
        <v/>
      </c>
      <c r="K41" s="231" t="str">
        <f>IFNA(IF(Prelim!U41="DRP","DRP",vlookup(J41,MConfig!$B$25:$C$33,2)),"")</f>
        <v/>
      </c>
      <c r="L41" s="229">
        <f t="shared" si="2"/>
        <v>0</v>
      </c>
      <c r="M41" s="229">
        <f>round(iferror((AVERAGE(Midterm!H41:K41)*MConfig!$G$15),)+iferror((average(Midterm!L41:O41)*MConfig!$G$16),)+iferror((average(Midterm!P41:S41)*MConfig!$G$17),),0)</f>
        <v>0</v>
      </c>
      <c r="N41" s="232">
        <f>round(SUM(L41*MConfig!$H$13)+(M41*MConfig!$H$14),0)</f>
        <v>0</v>
      </c>
      <c r="O41" s="232" t="str">
        <f>IF(Midterm!T41="",, (round(sum((Midterm!T41/Midterm!$T$19)*50)+50,0)))</f>
        <v/>
      </c>
      <c r="P41" s="230" t="str">
        <f>IF(O41="",,round(SUM((N41*MConfig!$I$12)+(O41*MConfig!$I$11)),0))</f>
        <v/>
      </c>
      <c r="Q41" s="233" t="str">
        <f>IFNA(IF(Midterm!U41="DRP","DRP",vlookup(P41,MConfig!$B$25:$C$33,2)),"")</f>
        <v/>
      </c>
      <c r="R41" s="234">
        <f t="shared" si="3"/>
        <v>0</v>
      </c>
      <c r="S41" s="234">
        <f>round(iferror((AVERAGE(PreFinal!H41:K41)*MConfig!$J$15),)+iferror((average(PreFinal!L41:O41)*MConfig!$J$16),)+iferror((average(PreFinal!P41:S41)*MConfig!$J$17),)+((PreFinal!T41)*MConfig!$J$18),0)</f>
        <v>0</v>
      </c>
      <c r="T41" s="234">
        <f>ROUND(SUM(R41*MConfig!$K$13)+(S41*MConfig!$K$14),0)</f>
        <v>0</v>
      </c>
      <c r="U41" s="229" t="str">
        <f>IF(PreFinal!U41="",,(round(sum((PreFinal!U41/PreFinal!$U$19)*50)+50,0)))</f>
        <v/>
      </c>
      <c r="V41" s="230" t="str">
        <f t="shared" si="4"/>
        <v/>
      </c>
      <c r="W41" s="233" t="str">
        <f>IFNA(IF(PreFinal!V41="DRP","DRP",vlookup(V41,MConfig!$B$25:$C$33,2)),"")</f>
        <v/>
      </c>
      <c r="X41" s="216" t="str">
        <f>IF(Prelim!C41="",,(round((sum((Prelim!C41/Prelim!$C$19)*50)+50),0)))</f>
        <v/>
      </c>
      <c r="Y41" s="216" t="str">
        <f>IF(Prelim!D41="",,(round((sum((Prelim!D41/Prelim!$D$19)*50)+50),0)))</f>
        <v/>
      </c>
      <c r="Z41" s="216" t="str">
        <f>IF(Prelim!E41="",,round((sum((Prelim!E41/Prelim!$E$19)*50)+50),0))</f>
        <v/>
      </c>
      <c r="AA41" s="216" t="str">
        <f>IF(Prelim!F41="",,(round((sum((Prelim!F41/Prelim!$F$19)*50)+50),0)))</f>
        <v/>
      </c>
      <c r="AB41" s="216" t="str">
        <f>IF(Prelim!G41="",,(round((sum((Prelim!G41/Prelim!$G$19)*50)+50),0)))</f>
        <v/>
      </c>
      <c r="AC41" s="216" t="str">
        <f>IF(Midterm!C41="",,(round((sum((Midterm!C41/Midterm!$C$19)*50)+50),0)))</f>
        <v/>
      </c>
      <c r="AD41" s="216" t="str">
        <f>IF(Midterm!D41="",,(round((sum((Midterm!D41/Midterm!$D$19)*50)+50),0)))</f>
        <v/>
      </c>
      <c r="AE41" s="216" t="str">
        <f>IF(Midterm!E41="",,(round((sum((Midterm!E41/Midterm!$E$19)*50)+50),0)))</f>
        <v/>
      </c>
      <c r="AF41" s="216" t="str">
        <f>IF(Midterm!F41="",,(round((sum((Midterm!F41/Midterm!$F$19)*50)+50),0)))</f>
        <v/>
      </c>
      <c r="AG41" s="216" t="str">
        <f>IF(Midterm!G41="",,(round((sum((Midterm!G41/Midterm!$G$19)*50)+50),0)))</f>
        <v/>
      </c>
      <c r="AH41" s="216" t="str">
        <f>IF(PreFinal!C41="",,(round((sum((PreFinal!C41/PreFinal!$C$19)*50)+50),0)))</f>
        <v/>
      </c>
      <c r="AI41" s="216" t="str">
        <f>IF(PreFinal!D41="",,(round((sum((PreFinal!D41/PreFinal!$D$19)*50)+50),0)))</f>
        <v/>
      </c>
      <c r="AJ41" s="216" t="str">
        <f>IF(PreFinal!E41="",,(round((sum((PreFinal!E41/PreFinal!$E$19)*50)+50),0)))</f>
        <v/>
      </c>
      <c r="AK41" s="216" t="str">
        <f>IF(PreFinal!F41="",,(round((sum((PreFinal!F41/PreFinal!$F$19)*50)+50),0)))</f>
        <v/>
      </c>
      <c r="AL41" s="216" t="str">
        <f>IF(PreFinal!G41="",,(round((sum((PreFinal!G41/PreFinal!$G$19)*50)+50),0)))</f>
        <v/>
      </c>
      <c r="AM41" s="217"/>
      <c r="AN41" s="4"/>
    </row>
    <row r="42" ht="26.25" customHeight="1">
      <c r="A42" s="225"/>
      <c r="B42" s="225"/>
      <c r="C42" s="226">
        <v>23.0</v>
      </c>
      <c r="D42" s="227" t="str">
        <f>Prelim!$B42</f>
        <v/>
      </c>
      <c r="E42" s="228"/>
      <c r="F42" s="229">
        <f t="shared" si="1"/>
        <v>0</v>
      </c>
      <c r="G42" s="229">
        <f>round(iferror((AVERAGE(Prelim!H42:K42)*MConfig!$D$15),)+iferror((average(Prelim!L42:O42)*MConfig!$D$16),)+iferror((average(Prelim!P42:S42)*MConfig!$D$17),),0)</f>
        <v>0</v>
      </c>
      <c r="H42" s="229">
        <f>round(sum(F42*MConfig!$E$13)+(G42*MConfig!$E$14),0)</f>
        <v>0</v>
      </c>
      <c r="I42" s="229" t="str">
        <f>  if(Prelim!T42="",,  (round(sum((Prelim!T42/Prelim!$T$19)*50)+50,0)))</f>
        <v/>
      </c>
      <c r="J42" s="230" t="str">
        <f>IF(I42="",,round(SUM((H42*MConfig!$F$12)+(I42*MConfig!$F$11)),0))</f>
        <v/>
      </c>
      <c r="K42" s="231" t="str">
        <f>IFNA(IF(Prelim!U42="DRP","DRP",vlookup(J42,MConfig!$B$25:$C$33,2)),"")</f>
        <v/>
      </c>
      <c r="L42" s="229">
        <f t="shared" si="2"/>
        <v>0</v>
      </c>
      <c r="M42" s="229">
        <f>round(iferror((AVERAGE(Midterm!H42:K42)*MConfig!$G$15),)+iferror((average(Midterm!L42:O42)*MConfig!$G$16),)+iferror((average(Midterm!P42:S42)*MConfig!$G$17),),0)</f>
        <v>0</v>
      </c>
      <c r="N42" s="232">
        <f>round(SUM(L42*MConfig!$H$13)+(M42*MConfig!$H$14),0)</f>
        <v>0</v>
      </c>
      <c r="O42" s="232" t="str">
        <f>IF(Midterm!T42="",, (round(sum((Midterm!T42/Midterm!$T$19)*50)+50,0)))</f>
        <v/>
      </c>
      <c r="P42" s="230" t="str">
        <f>IF(O42="",,round(SUM((N42*MConfig!$I$12)+(O42*MConfig!$I$11)),0))</f>
        <v/>
      </c>
      <c r="Q42" s="233" t="str">
        <f>IFNA(IF(Midterm!U42="DRP","DRP",vlookup(P42,MConfig!$B$25:$C$33,2)),"")</f>
        <v/>
      </c>
      <c r="R42" s="234">
        <f t="shared" si="3"/>
        <v>0</v>
      </c>
      <c r="S42" s="234">
        <f>round(iferror((AVERAGE(PreFinal!H42:K42)*MConfig!$J$15),)+iferror((average(PreFinal!L42:O42)*MConfig!$J$16),)+iferror((average(PreFinal!P42:S42)*MConfig!$J$17),)+((PreFinal!T42)*MConfig!$J$18),0)</f>
        <v>0</v>
      </c>
      <c r="T42" s="234">
        <f>ROUND(SUM(R42*MConfig!$K$13)+(S42*MConfig!$K$14),0)</f>
        <v>0</v>
      </c>
      <c r="U42" s="229" t="str">
        <f>IF(PreFinal!U42="",,(round(sum((PreFinal!U42/PreFinal!$U$19)*50)+50,0)))</f>
        <v/>
      </c>
      <c r="V42" s="230" t="str">
        <f t="shared" si="4"/>
        <v/>
      </c>
      <c r="W42" s="233" t="str">
        <f>IFNA(IF(PreFinal!V42="DRP","DRP",vlookup(V42,MConfig!$B$25:$C$33,2)),"")</f>
        <v/>
      </c>
      <c r="X42" s="216" t="str">
        <f>IF(Prelim!C42="",,(round((sum((Prelim!C42/Prelim!$C$19)*50)+50),0)))</f>
        <v/>
      </c>
      <c r="Y42" s="216" t="str">
        <f>IF(Prelim!D42="",,(round((sum((Prelim!D42/Prelim!$D$19)*50)+50),0)))</f>
        <v/>
      </c>
      <c r="Z42" s="216" t="str">
        <f>IF(Prelim!E42="",,round((sum((Prelim!E42/Prelim!$E$19)*50)+50),0))</f>
        <v/>
      </c>
      <c r="AA42" s="216" t="str">
        <f>IF(Prelim!F42="",,(round((sum((Prelim!F42/Prelim!$F$19)*50)+50),0)))</f>
        <v/>
      </c>
      <c r="AB42" s="216" t="str">
        <f>IF(Prelim!G42="",,(round((sum((Prelim!G42/Prelim!$G$19)*50)+50),0)))</f>
        <v/>
      </c>
      <c r="AC42" s="216" t="str">
        <f>IF(Midterm!C42="",,(round((sum((Midterm!C42/Midterm!$C$19)*50)+50),0)))</f>
        <v/>
      </c>
      <c r="AD42" s="216" t="str">
        <f>IF(Midterm!D42="",,(round((sum((Midterm!D42/Midterm!$D$19)*50)+50),0)))</f>
        <v/>
      </c>
      <c r="AE42" s="216" t="str">
        <f>IF(Midterm!E42="",,(round((sum((Midterm!E42/Midterm!$E$19)*50)+50),0)))</f>
        <v/>
      </c>
      <c r="AF42" s="216" t="str">
        <f>IF(Midterm!F42="",,(round((sum((Midterm!F42/Midterm!$F$19)*50)+50),0)))</f>
        <v/>
      </c>
      <c r="AG42" s="216" t="str">
        <f>IF(Midterm!G42="",,(round((sum((Midterm!G42/Midterm!$G$19)*50)+50),0)))</f>
        <v/>
      </c>
      <c r="AH42" s="216" t="str">
        <f>IF(PreFinal!C42="",,(round((sum((PreFinal!C42/PreFinal!$C$19)*50)+50),0)))</f>
        <v/>
      </c>
      <c r="AI42" s="216" t="str">
        <f>IF(PreFinal!D42="",,(round((sum((PreFinal!D42/PreFinal!$D$19)*50)+50),0)))</f>
        <v/>
      </c>
      <c r="AJ42" s="216" t="str">
        <f>IF(PreFinal!E42="",,(round((sum((PreFinal!E42/PreFinal!$E$19)*50)+50),0)))</f>
        <v/>
      </c>
      <c r="AK42" s="216" t="str">
        <f>IF(PreFinal!F42="",,(round((sum((PreFinal!F42/PreFinal!$F$19)*50)+50),0)))</f>
        <v/>
      </c>
      <c r="AL42" s="216" t="str">
        <f>IF(PreFinal!G42="",,(round((sum((PreFinal!G42/PreFinal!$G$19)*50)+50),0)))</f>
        <v/>
      </c>
      <c r="AM42" s="217"/>
      <c r="AN42" s="4"/>
    </row>
    <row r="43" ht="26.25" customHeight="1">
      <c r="A43" s="225"/>
      <c r="B43" s="225"/>
      <c r="C43" s="226">
        <v>24.0</v>
      </c>
      <c r="D43" s="227" t="str">
        <f>Prelim!$B43</f>
        <v/>
      </c>
      <c r="E43" s="228"/>
      <c r="F43" s="229">
        <f t="shared" si="1"/>
        <v>0</v>
      </c>
      <c r="G43" s="229">
        <f>round(iferror((AVERAGE(Prelim!H43:K43)*MConfig!$D$15),)+iferror((average(Prelim!L43:O43)*MConfig!$D$16),)+iferror((average(Prelim!P43:S43)*MConfig!$D$17),),0)</f>
        <v>0</v>
      </c>
      <c r="H43" s="229">
        <f>round(sum(F43*MConfig!$E$13)+(G43*MConfig!$E$14),0)</f>
        <v>0</v>
      </c>
      <c r="I43" s="229" t="str">
        <f>  if(Prelim!T43="",,  (round(sum((Prelim!T43/Prelim!$T$19)*50)+50,0)))</f>
        <v/>
      </c>
      <c r="J43" s="230" t="str">
        <f>IF(I43="",,round(SUM((H43*MConfig!$F$12)+(I43*MConfig!$F$11)),0))</f>
        <v/>
      </c>
      <c r="K43" s="231" t="str">
        <f>IFNA(IF(Prelim!U43="DRP","DRP",vlookup(J43,MConfig!$B$25:$C$33,2)),"")</f>
        <v/>
      </c>
      <c r="L43" s="229">
        <f t="shared" si="2"/>
        <v>0</v>
      </c>
      <c r="M43" s="229">
        <f>round(iferror((AVERAGE(Midterm!H43:K43)*MConfig!$G$15),)+iferror((average(Midterm!L43:O43)*MConfig!$G$16),)+iferror((average(Midterm!P43:S43)*MConfig!$G$17),),0)</f>
        <v>0</v>
      </c>
      <c r="N43" s="232">
        <f>round(SUM(L43*MConfig!$H$13)+(M43*MConfig!$H$14),0)</f>
        <v>0</v>
      </c>
      <c r="O43" s="232" t="str">
        <f>IF(Midterm!T43="",, (round(sum((Midterm!T43/Midterm!$T$19)*50)+50,0)))</f>
        <v/>
      </c>
      <c r="P43" s="230" t="str">
        <f>IF(O43="",,round(SUM((N43*MConfig!$I$12)+(O43*MConfig!$I$11)),0))</f>
        <v/>
      </c>
      <c r="Q43" s="233" t="str">
        <f>IFNA(IF(Midterm!U43="DRP","DRP",vlookup(P43,MConfig!$B$25:$C$33,2)),"")</f>
        <v/>
      </c>
      <c r="R43" s="234">
        <f t="shared" si="3"/>
        <v>0</v>
      </c>
      <c r="S43" s="234">
        <f>round(iferror((AVERAGE(PreFinal!H43:K43)*MConfig!$J$15),)+iferror((average(PreFinal!L43:O43)*MConfig!$J$16),)+iferror((average(PreFinal!P43:S43)*MConfig!$J$17),)+((PreFinal!T43)*MConfig!$J$18),0)</f>
        <v>0</v>
      </c>
      <c r="T43" s="234">
        <f>ROUND(SUM(R43*MConfig!$K$13)+(S43*MConfig!$K$14),0)</f>
        <v>0</v>
      </c>
      <c r="U43" s="229" t="str">
        <f>IF(PreFinal!U43="",,(round(sum((PreFinal!U43/PreFinal!$U$19)*50)+50,0)))</f>
        <v/>
      </c>
      <c r="V43" s="230" t="str">
        <f t="shared" si="4"/>
        <v/>
      </c>
      <c r="W43" s="233" t="str">
        <f>IFNA(IF(PreFinal!V43="DRP","DRP",vlookup(V43,MConfig!$B$25:$C$33,2)),"")</f>
        <v/>
      </c>
      <c r="X43" s="216" t="str">
        <f>IF(Prelim!C43="",,(round((sum((Prelim!C43/Prelim!$C$19)*50)+50),0)))</f>
        <v/>
      </c>
      <c r="Y43" s="216" t="str">
        <f>IF(Prelim!D43="",,(round((sum((Prelim!D43/Prelim!$D$19)*50)+50),0)))</f>
        <v/>
      </c>
      <c r="Z43" s="216" t="str">
        <f>IF(Prelim!E43="",,round((sum((Prelim!E43/Prelim!$E$19)*50)+50),0))</f>
        <v/>
      </c>
      <c r="AA43" s="216" t="str">
        <f>IF(Prelim!F43="",,(round((sum((Prelim!F43/Prelim!$F$19)*50)+50),0)))</f>
        <v/>
      </c>
      <c r="AB43" s="216" t="str">
        <f>IF(Prelim!G43="",,(round((sum((Prelim!G43/Prelim!$G$19)*50)+50),0)))</f>
        <v/>
      </c>
      <c r="AC43" s="216" t="str">
        <f>IF(Midterm!C43="",,(round((sum((Midterm!C43/Midterm!$C$19)*50)+50),0)))</f>
        <v/>
      </c>
      <c r="AD43" s="216" t="str">
        <f>IF(Midterm!D43="",,(round((sum((Midterm!D43/Midterm!$D$19)*50)+50),0)))</f>
        <v/>
      </c>
      <c r="AE43" s="216" t="str">
        <f>IF(Midterm!E43="",,(round((sum((Midterm!E43/Midterm!$E$19)*50)+50),0)))</f>
        <v/>
      </c>
      <c r="AF43" s="216" t="str">
        <f>IF(Midterm!F43="",,(round((sum((Midterm!F43/Midterm!$F$19)*50)+50),0)))</f>
        <v/>
      </c>
      <c r="AG43" s="216" t="str">
        <f>IF(Midterm!G43="",,(round((sum((Midterm!G43/Midterm!$G$19)*50)+50),0)))</f>
        <v/>
      </c>
      <c r="AH43" s="216" t="str">
        <f>IF(PreFinal!C43="",,(round((sum((PreFinal!C43/PreFinal!$C$19)*50)+50),0)))</f>
        <v/>
      </c>
      <c r="AI43" s="216" t="str">
        <f>IF(PreFinal!D43="",,(round((sum((PreFinal!D43/PreFinal!$D$19)*50)+50),0)))</f>
        <v/>
      </c>
      <c r="AJ43" s="216" t="str">
        <f>IF(PreFinal!E43="",,(round((sum((PreFinal!E43/PreFinal!$E$19)*50)+50),0)))</f>
        <v/>
      </c>
      <c r="AK43" s="216" t="str">
        <f>IF(PreFinal!F43="",,(round((sum((PreFinal!F43/PreFinal!$F$19)*50)+50),0)))</f>
        <v/>
      </c>
      <c r="AL43" s="216" t="str">
        <f>IF(PreFinal!G43="",,(round((sum((PreFinal!G43/PreFinal!$G$19)*50)+50),0)))</f>
        <v/>
      </c>
      <c r="AM43" s="217"/>
      <c r="AN43" s="4"/>
    </row>
    <row r="44" ht="26.25" customHeight="1">
      <c r="A44" s="225"/>
      <c r="B44" s="225"/>
      <c r="C44" s="226">
        <v>25.0</v>
      </c>
      <c r="D44" s="227" t="str">
        <f>Prelim!$B44</f>
        <v/>
      </c>
      <c r="E44" s="228"/>
      <c r="F44" s="229">
        <f t="shared" si="1"/>
        <v>0</v>
      </c>
      <c r="G44" s="229">
        <f>round(iferror((AVERAGE(Prelim!H44:K44)*MConfig!$D$15),)+iferror((average(Prelim!L44:O44)*MConfig!$D$16),)+iferror((average(Prelim!P44:S44)*MConfig!$D$17),),0)</f>
        <v>0</v>
      </c>
      <c r="H44" s="229">
        <f>round(sum(F44*MConfig!$E$13)+(G44*MConfig!$E$14),0)</f>
        <v>0</v>
      </c>
      <c r="I44" s="229" t="str">
        <f>  if(Prelim!T44="",,  (round(sum((Prelim!T44/Prelim!$T$19)*50)+50,0)))</f>
        <v/>
      </c>
      <c r="J44" s="230" t="str">
        <f>IF(I44="",,round(SUM((H44*MConfig!$F$12)+(I44*MConfig!$F$11)),0))</f>
        <v/>
      </c>
      <c r="K44" s="231" t="str">
        <f>IFNA(IF(Prelim!U44="DRP","DRP",vlookup(J44,MConfig!$B$25:$C$33,2)),"")</f>
        <v/>
      </c>
      <c r="L44" s="229">
        <f t="shared" si="2"/>
        <v>0</v>
      </c>
      <c r="M44" s="229">
        <f>round(iferror((AVERAGE(Midterm!H44:K44)*MConfig!$G$15),)+iferror((average(Midterm!L44:O44)*MConfig!$G$16),)+iferror((average(Midterm!P44:S44)*MConfig!$G$17),),0)</f>
        <v>0</v>
      </c>
      <c r="N44" s="232">
        <f>round(SUM(L44*MConfig!$H$13)+(M44*MConfig!$H$14),0)</f>
        <v>0</v>
      </c>
      <c r="O44" s="232" t="str">
        <f>IF(Midterm!T44="",, (round(sum((Midterm!T44/Midterm!$T$19)*50)+50,0)))</f>
        <v/>
      </c>
      <c r="P44" s="230" t="str">
        <f>IF(O44="",,round(SUM((N44*MConfig!$I$12)+(O44*MConfig!$I$11)),0))</f>
        <v/>
      </c>
      <c r="Q44" s="233" t="str">
        <f>IFNA(IF(Midterm!U44="DRP","DRP",vlookup(P44,MConfig!$B$25:$C$33,2)),"")</f>
        <v/>
      </c>
      <c r="R44" s="234">
        <f t="shared" si="3"/>
        <v>0</v>
      </c>
      <c r="S44" s="234">
        <f>round(iferror((AVERAGE(PreFinal!H44:K44)*MConfig!$J$15),)+iferror((average(PreFinal!L44:O44)*MConfig!$J$16),)+iferror((average(PreFinal!P44:S44)*MConfig!$J$17),)+((PreFinal!T44)*MConfig!$J$18),0)</f>
        <v>0</v>
      </c>
      <c r="T44" s="234">
        <f>ROUND(SUM(R44*MConfig!$K$13)+(S44*MConfig!$K$14),0)</f>
        <v>0</v>
      </c>
      <c r="U44" s="229" t="str">
        <f>IF(PreFinal!U44="",,(round(sum((PreFinal!U44/PreFinal!$U$19)*50)+50,0)))</f>
        <v/>
      </c>
      <c r="V44" s="230" t="str">
        <f t="shared" si="4"/>
        <v/>
      </c>
      <c r="W44" s="233" t="str">
        <f>IFNA(IF(PreFinal!V44="DRP","DRP",vlookup(V44,MConfig!$B$25:$C$33,2)),"")</f>
        <v/>
      </c>
      <c r="X44" s="216" t="str">
        <f>IF(Prelim!C44="",,(round((sum((Prelim!C44/Prelim!$C$19)*50)+50),0)))</f>
        <v/>
      </c>
      <c r="Y44" s="216" t="str">
        <f>IF(Prelim!D44="",,(round((sum((Prelim!D44/Prelim!$D$19)*50)+50),0)))</f>
        <v/>
      </c>
      <c r="Z44" s="216" t="str">
        <f>IF(Prelim!E44="",,round((sum((Prelim!E44/Prelim!$E$19)*50)+50),0))</f>
        <v/>
      </c>
      <c r="AA44" s="216" t="str">
        <f>IF(Prelim!F44="",,(round((sum((Prelim!F44/Prelim!$F$19)*50)+50),0)))</f>
        <v/>
      </c>
      <c r="AB44" s="216" t="str">
        <f>IF(Prelim!G44="",,(round((sum((Prelim!G44/Prelim!$G$19)*50)+50),0)))</f>
        <v/>
      </c>
      <c r="AC44" s="216" t="str">
        <f>IF(Midterm!C44="",,(round((sum((Midterm!C44/Midterm!$C$19)*50)+50),0)))</f>
        <v/>
      </c>
      <c r="AD44" s="216" t="str">
        <f>IF(Midterm!D44="",,(round((sum((Midterm!D44/Midterm!$D$19)*50)+50),0)))</f>
        <v/>
      </c>
      <c r="AE44" s="216" t="str">
        <f>IF(Midterm!E44="",,(round((sum((Midterm!E44/Midterm!$E$19)*50)+50),0)))</f>
        <v/>
      </c>
      <c r="AF44" s="216" t="str">
        <f>IF(Midterm!F44="",,(round((sum((Midterm!F44/Midterm!$F$19)*50)+50),0)))</f>
        <v/>
      </c>
      <c r="AG44" s="216" t="str">
        <f>IF(Midterm!G44="",,(round((sum((Midterm!G44/Midterm!$G$19)*50)+50),0)))</f>
        <v/>
      </c>
      <c r="AH44" s="216" t="str">
        <f>IF(PreFinal!C44="",,(round((sum((PreFinal!C44/PreFinal!$C$19)*50)+50),0)))</f>
        <v/>
      </c>
      <c r="AI44" s="216" t="str">
        <f>IF(PreFinal!D44="",,(round((sum((PreFinal!D44/PreFinal!$D$19)*50)+50),0)))</f>
        <v/>
      </c>
      <c r="AJ44" s="216" t="str">
        <f>IF(PreFinal!E44="",,(round((sum((PreFinal!E44/PreFinal!$E$19)*50)+50),0)))</f>
        <v/>
      </c>
      <c r="AK44" s="216" t="str">
        <f>IF(PreFinal!F44="",,(round((sum((PreFinal!F44/PreFinal!$F$19)*50)+50),0)))</f>
        <v/>
      </c>
      <c r="AL44" s="216" t="str">
        <f>IF(PreFinal!G44="",,(round((sum((PreFinal!G44/PreFinal!$G$19)*50)+50),0)))</f>
        <v/>
      </c>
      <c r="AM44" s="217"/>
      <c r="AN44" s="4"/>
    </row>
    <row r="45" ht="26.25" customHeight="1">
      <c r="A45" s="225"/>
      <c r="B45" s="225"/>
      <c r="C45" s="226">
        <v>26.0</v>
      </c>
      <c r="D45" s="227" t="str">
        <f>Prelim!$B45</f>
        <v/>
      </c>
      <c r="E45" s="228"/>
      <c r="F45" s="229">
        <f t="shared" si="1"/>
        <v>0</v>
      </c>
      <c r="G45" s="229">
        <f>round(iferror((AVERAGE(Prelim!H45:K45)*MConfig!$D$15),)+iferror((average(Prelim!L45:O45)*MConfig!$D$16),)+iferror((average(Prelim!P45:S45)*MConfig!$D$17),),0)</f>
        <v>0</v>
      </c>
      <c r="H45" s="229">
        <f>round(sum(F45*MConfig!$E$13)+(G45*MConfig!$E$14),0)</f>
        <v>0</v>
      </c>
      <c r="I45" s="229" t="str">
        <f>  if(Prelim!T45="",,  (round(sum((Prelim!T45/Prelim!$T$19)*50)+50,0)))</f>
        <v/>
      </c>
      <c r="J45" s="230" t="str">
        <f>IF(I45="",,round(SUM((H45*MConfig!$F$12)+(I45*MConfig!$F$11)),0))</f>
        <v/>
      </c>
      <c r="K45" s="231" t="str">
        <f>IFNA(IF(Prelim!U45="DRP","DRP",vlookup(J45,MConfig!$B$25:$C$33,2)),"")</f>
        <v/>
      </c>
      <c r="L45" s="229">
        <f t="shared" si="2"/>
        <v>0</v>
      </c>
      <c r="M45" s="229">
        <f>round(iferror((AVERAGE(Midterm!H45:K45)*MConfig!$G$15),)+iferror((average(Midterm!L45:O45)*MConfig!$G$16),)+iferror((average(Midterm!P45:S45)*MConfig!$G$17),),0)</f>
        <v>0</v>
      </c>
      <c r="N45" s="232">
        <f>round(SUM(L45*MConfig!$H$13)+(M45*MConfig!$H$14),0)</f>
        <v>0</v>
      </c>
      <c r="O45" s="232" t="str">
        <f>IF(Midterm!T45="",, (round(sum((Midterm!T45/Midterm!$T$19)*50)+50,0)))</f>
        <v/>
      </c>
      <c r="P45" s="230" t="str">
        <f>IF(O45="",,round(SUM((N45*MConfig!$I$12)+(O45*MConfig!$I$11)),0))</f>
        <v/>
      </c>
      <c r="Q45" s="233" t="str">
        <f>IFNA(IF(Midterm!U45="DRP","DRP",vlookup(P45,MConfig!$B$25:$C$33,2)),"")</f>
        <v/>
      </c>
      <c r="R45" s="234">
        <f t="shared" si="3"/>
        <v>0</v>
      </c>
      <c r="S45" s="234">
        <f>round(iferror((AVERAGE(PreFinal!H45:K45)*MConfig!$J$15),)+iferror((average(PreFinal!L45:O45)*MConfig!$J$16),)+iferror((average(PreFinal!P45:S45)*MConfig!$J$17),)+((PreFinal!T45)*MConfig!$J$18),0)</f>
        <v>0</v>
      </c>
      <c r="T45" s="234">
        <f>ROUND(SUM(R45*MConfig!$K$13)+(S45*MConfig!$K$14),0)</f>
        <v>0</v>
      </c>
      <c r="U45" s="229" t="str">
        <f>IF(PreFinal!U45="",,(round(sum((PreFinal!U45/PreFinal!$U$19)*50)+50,0)))</f>
        <v/>
      </c>
      <c r="V45" s="230" t="str">
        <f t="shared" si="4"/>
        <v/>
      </c>
      <c r="W45" s="233" t="str">
        <f>IFNA(IF(PreFinal!V45="DRP","DRP",vlookup(V45,MConfig!$B$25:$C$33,2)),"")</f>
        <v/>
      </c>
      <c r="X45" s="216" t="str">
        <f>IF(Prelim!C45="",,(round((sum((Prelim!C45/Prelim!$C$19)*50)+50),0)))</f>
        <v/>
      </c>
      <c r="Y45" s="216" t="str">
        <f>IF(Prelim!D45="",,(round((sum((Prelim!D45/Prelim!$D$19)*50)+50),0)))</f>
        <v/>
      </c>
      <c r="Z45" s="216" t="str">
        <f>IF(Prelim!E45="",,round((sum((Prelim!E45/Prelim!$E$19)*50)+50),0))</f>
        <v/>
      </c>
      <c r="AA45" s="216" t="str">
        <f>IF(Prelim!F45="",,(round((sum((Prelim!F45/Prelim!$F$19)*50)+50),0)))</f>
        <v/>
      </c>
      <c r="AB45" s="216" t="str">
        <f>IF(Prelim!G45="",,(round((sum((Prelim!G45/Prelim!$G$19)*50)+50),0)))</f>
        <v/>
      </c>
      <c r="AC45" s="216" t="str">
        <f>IF(Midterm!C45="",,(round((sum((Midterm!C45/Midterm!$C$19)*50)+50),0)))</f>
        <v/>
      </c>
      <c r="AD45" s="216" t="str">
        <f>IF(Midterm!D45="",,(round((sum((Midterm!D45/Midterm!$D$19)*50)+50),0)))</f>
        <v/>
      </c>
      <c r="AE45" s="216" t="str">
        <f>IF(Midterm!E45="",,(round((sum((Midterm!E45/Midterm!$E$19)*50)+50),0)))</f>
        <v/>
      </c>
      <c r="AF45" s="216" t="str">
        <f>IF(Midterm!F45="",,(round((sum((Midterm!F45/Midterm!$F$19)*50)+50),0)))</f>
        <v/>
      </c>
      <c r="AG45" s="216" t="str">
        <f>IF(Midterm!G45="",,(round((sum((Midterm!G45/Midterm!$G$19)*50)+50),0)))</f>
        <v/>
      </c>
      <c r="AH45" s="216" t="str">
        <f>IF(PreFinal!C45="",,(round((sum((PreFinal!C45/PreFinal!$C$19)*50)+50),0)))</f>
        <v/>
      </c>
      <c r="AI45" s="216" t="str">
        <f>IF(PreFinal!D45="",,(round((sum((PreFinal!D45/PreFinal!$D$19)*50)+50),0)))</f>
        <v/>
      </c>
      <c r="AJ45" s="216" t="str">
        <f>IF(PreFinal!E45="",,(round((sum((PreFinal!E45/PreFinal!$E$19)*50)+50),0)))</f>
        <v/>
      </c>
      <c r="AK45" s="216" t="str">
        <f>IF(PreFinal!F45="",,(round((sum((PreFinal!F45/PreFinal!$F$19)*50)+50),0)))</f>
        <v/>
      </c>
      <c r="AL45" s="216" t="str">
        <f>IF(PreFinal!G45="",,(round((sum((PreFinal!G45/PreFinal!$G$19)*50)+50),0)))</f>
        <v/>
      </c>
      <c r="AM45" s="217"/>
      <c r="AN45" s="4"/>
    </row>
    <row r="46" ht="26.25" customHeight="1">
      <c r="A46" s="225"/>
      <c r="B46" s="225"/>
      <c r="C46" s="226">
        <v>27.0</v>
      </c>
      <c r="D46" s="227" t="str">
        <f>Prelim!$B46</f>
        <v/>
      </c>
      <c r="E46" s="228"/>
      <c r="F46" s="229">
        <f t="shared" si="1"/>
        <v>0</v>
      </c>
      <c r="G46" s="229">
        <f>round(iferror((AVERAGE(Prelim!H46:K46)*MConfig!$D$15),)+iferror((average(Prelim!L46:O46)*MConfig!$D$16),)+iferror((average(Prelim!P46:S46)*MConfig!$D$17),),0)</f>
        <v>0</v>
      </c>
      <c r="H46" s="229">
        <f>round(sum(F46*MConfig!$E$13)+(G46*MConfig!$E$14),0)</f>
        <v>0</v>
      </c>
      <c r="I46" s="229" t="str">
        <f>  if(Prelim!T46="",,  (round(sum((Prelim!T46/Prelim!$T$19)*50)+50,0)))</f>
        <v/>
      </c>
      <c r="J46" s="230" t="str">
        <f>IF(I46="",,round(SUM((H46*MConfig!$F$12)+(I46*MConfig!$F$11)),0))</f>
        <v/>
      </c>
      <c r="K46" s="231" t="str">
        <f>IFNA(IF(Prelim!U46="DRP","DRP",vlookup(J46,MConfig!$B$25:$C$33,2)),"")</f>
        <v/>
      </c>
      <c r="L46" s="229">
        <f t="shared" si="2"/>
        <v>0</v>
      </c>
      <c r="M46" s="229">
        <f>round(iferror((AVERAGE(Midterm!H46:K46)*MConfig!$G$15),)+iferror((average(Midterm!L46:O46)*MConfig!$G$16),)+iferror((average(Midterm!P46:S46)*MConfig!$G$17),),0)</f>
        <v>0</v>
      </c>
      <c r="N46" s="232">
        <f>round(SUM(L46*MConfig!$H$13)+(M46*MConfig!$H$14),0)</f>
        <v>0</v>
      </c>
      <c r="O46" s="232" t="str">
        <f>IF(Midterm!T46="",, (round(sum((Midterm!T46/Midterm!$T$19)*50)+50,0)))</f>
        <v/>
      </c>
      <c r="P46" s="230" t="str">
        <f>IF(O46="",,round(SUM((N46*MConfig!$I$12)+(O46*MConfig!$I$11)),0))</f>
        <v/>
      </c>
      <c r="Q46" s="233" t="str">
        <f>IFNA(IF(Midterm!U46="DRP","DRP",vlookup(P46,MConfig!$B$25:$C$33,2)),"")</f>
        <v/>
      </c>
      <c r="R46" s="234">
        <f t="shared" si="3"/>
        <v>0</v>
      </c>
      <c r="S46" s="234">
        <f>round(iferror((AVERAGE(PreFinal!H46:K46)*MConfig!$J$15),)+iferror((average(PreFinal!L46:O46)*MConfig!$J$16),)+iferror((average(PreFinal!P46:S46)*MConfig!$J$17),)+((PreFinal!T46)*MConfig!$J$18),0)</f>
        <v>0</v>
      </c>
      <c r="T46" s="234">
        <f>ROUND(SUM(R46*MConfig!$K$13)+(S46*MConfig!$K$14),0)</f>
        <v>0</v>
      </c>
      <c r="U46" s="229" t="str">
        <f>IF(PreFinal!U46="",,(round(sum((PreFinal!U46/PreFinal!$U$19)*50)+50,0)))</f>
        <v/>
      </c>
      <c r="V46" s="230" t="str">
        <f t="shared" si="4"/>
        <v/>
      </c>
      <c r="W46" s="233" t="str">
        <f>IFNA(IF(PreFinal!V46="DRP","DRP",vlookup(V46,MConfig!$B$25:$C$33,2)),"")</f>
        <v/>
      </c>
      <c r="X46" s="216" t="str">
        <f>IF(Prelim!C46="",,(round((sum((Prelim!C46/Prelim!$C$19)*50)+50),0)))</f>
        <v/>
      </c>
      <c r="Y46" s="216" t="str">
        <f>IF(Prelim!D46="",,(round((sum((Prelim!D46/Prelim!$D$19)*50)+50),0)))</f>
        <v/>
      </c>
      <c r="Z46" s="216" t="str">
        <f>IF(Prelim!E46="",,round((sum((Prelim!E46/Prelim!$E$19)*50)+50),0))</f>
        <v/>
      </c>
      <c r="AA46" s="216" t="str">
        <f>IF(Prelim!F46="",,(round((sum((Prelim!F46/Prelim!$F$19)*50)+50),0)))</f>
        <v/>
      </c>
      <c r="AB46" s="216" t="str">
        <f>IF(Prelim!G46="",,(round((sum((Prelim!G46/Prelim!$G$19)*50)+50),0)))</f>
        <v/>
      </c>
      <c r="AC46" s="216" t="str">
        <f>IF(Midterm!C46="",,(round((sum((Midterm!C46/Midterm!$C$19)*50)+50),0)))</f>
        <v/>
      </c>
      <c r="AD46" s="216" t="str">
        <f>IF(Midterm!D46="",,(round((sum((Midterm!D46/Midterm!$D$19)*50)+50),0)))</f>
        <v/>
      </c>
      <c r="AE46" s="216" t="str">
        <f>IF(Midterm!E46="",,(round((sum((Midterm!E46/Midterm!$E$19)*50)+50),0)))</f>
        <v/>
      </c>
      <c r="AF46" s="216" t="str">
        <f>IF(Midterm!F46="",,(round((sum((Midterm!F46/Midterm!$F$19)*50)+50),0)))</f>
        <v/>
      </c>
      <c r="AG46" s="216" t="str">
        <f>IF(Midterm!G46="",,(round((sum((Midterm!G46/Midterm!$G$19)*50)+50),0)))</f>
        <v/>
      </c>
      <c r="AH46" s="216" t="str">
        <f>IF(PreFinal!C46="",,(round((sum((PreFinal!C46/PreFinal!$C$19)*50)+50),0)))</f>
        <v/>
      </c>
      <c r="AI46" s="216" t="str">
        <f>IF(PreFinal!D46="",,(round((sum((PreFinal!D46/PreFinal!$D$19)*50)+50),0)))</f>
        <v/>
      </c>
      <c r="AJ46" s="216" t="str">
        <f>IF(PreFinal!E46="",,(round((sum((PreFinal!E46/PreFinal!$E$19)*50)+50),0)))</f>
        <v/>
      </c>
      <c r="AK46" s="216" t="str">
        <f>IF(PreFinal!F46="",,(round((sum((PreFinal!F46/PreFinal!$F$19)*50)+50),0)))</f>
        <v/>
      </c>
      <c r="AL46" s="216" t="str">
        <f>IF(PreFinal!G46="",,(round((sum((PreFinal!G46/PreFinal!$G$19)*50)+50),0)))</f>
        <v/>
      </c>
      <c r="AM46" s="217"/>
      <c r="AN46" s="4"/>
    </row>
    <row r="47" ht="26.25" customHeight="1">
      <c r="A47" s="225"/>
      <c r="B47" s="225"/>
      <c r="C47" s="226">
        <v>28.0</v>
      </c>
      <c r="D47" s="227" t="str">
        <f>Prelim!$B47</f>
        <v/>
      </c>
      <c r="E47" s="228"/>
      <c r="F47" s="229">
        <f t="shared" si="1"/>
        <v>0</v>
      </c>
      <c r="G47" s="229">
        <f>round(iferror((AVERAGE(Prelim!H47:K47)*MConfig!$D$15),)+iferror((average(Prelim!L47:O47)*MConfig!$D$16),)+iferror((average(Prelim!P47:S47)*MConfig!$D$17),),0)</f>
        <v>0</v>
      </c>
      <c r="H47" s="229">
        <f>round(sum(F47*MConfig!$E$13)+(G47*MConfig!$E$14),0)</f>
        <v>0</v>
      </c>
      <c r="I47" s="229" t="str">
        <f>  if(Prelim!T47="",,  (round(sum((Prelim!T47/Prelim!$T$19)*50)+50,0)))</f>
        <v/>
      </c>
      <c r="J47" s="230" t="str">
        <f>IF(I47="",,round(SUM((H47*MConfig!$F$12)+(I47*MConfig!$F$11)),0))</f>
        <v/>
      </c>
      <c r="K47" s="231" t="str">
        <f>IFNA(IF(Prelim!U47="DRP","DRP",vlookup(J47,MConfig!$B$25:$C$33,2)),"")</f>
        <v/>
      </c>
      <c r="L47" s="229">
        <f t="shared" si="2"/>
        <v>0</v>
      </c>
      <c r="M47" s="229">
        <f>round(iferror((AVERAGE(Midterm!H47:K47)*MConfig!$G$15),)+iferror((average(Midterm!L47:O47)*MConfig!$G$16),)+iferror((average(Midterm!P47:S47)*MConfig!$G$17),),0)</f>
        <v>0</v>
      </c>
      <c r="N47" s="232">
        <f>round(SUM(L47*MConfig!$H$13)+(M47*MConfig!$H$14),0)</f>
        <v>0</v>
      </c>
      <c r="O47" s="232" t="str">
        <f>IF(Midterm!T47="",, (round(sum((Midterm!T47/Midterm!$T$19)*50)+50,0)))</f>
        <v/>
      </c>
      <c r="P47" s="230" t="str">
        <f>IF(O47="",,round(SUM((N47*MConfig!$I$12)+(O47*MConfig!$I$11)),0))</f>
        <v/>
      </c>
      <c r="Q47" s="233" t="str">
        <f>IFNA(IF(Midterm!U47="DRP","DRP",vlookup(P47,MConfig!$B$25:$C$33,2)),"")</f>
        <v/>
      </c>
      <c r="R47" s="234">
        <f t="shared" si="3"/>
        <v>0</v>
      </c>
      <c r="S47" s="234">
        <f>round(iferror((AVERAGE(PreFinal!H47:K47)*MConfig!$J$15),)+iferror((average(PreFinal!L47:O47)*MConfig!$J$16),)+iferror((average(PreFinal!P47:S47)*MConfig!$J$17),)+((PreFinal!T47)*MConfig!$J$18),0)</f>
        <v>0</v>
      </c>
      <c r="T47" s="234">
        <f>ROUND(SUM(R47*MConfig!$K$13)+(S47*MConfig!$K$14),0)</f>
        <v>0</v>
      </c>
      <c r="U47" s="229" t="str">
        <f>IF(PreFinal!U47="",,(round(sum((PreFinal!U47/PreFinal!$U$19)*50)+50,0)))</f>
        <v/>
      </c>
      <c r="V47" s="230" t="str">
        <f t="shared" si="4"/>
        <v/>
      </c>
      <c r="W47" s="233" t="str">
        <f>IFNA(IF(PreFinal!V47="DRP","DRP",vlookup(V47,MConfig!$B$25:$C$33,2)),"")</f>
        <v/>
      </c>
      <c r="X47" s="216" t="str">
        <f>IF(Prelim!C47="",,(round((sum((Prelim!C47/Prelim!$C$19)*50)+50),0)))</f>
        <v/>
      </c>
      <c r="Y47" s="216" t="str">
        <f>IF(Prelim!D47="",,(round((sum((Prelim!D47/Prelim!$D$19)*50)+50),0)))</f>
        <v/>
      </c>
      <c r="Z47" s="216" t="str">
        <f>IF(Prelim!E47="",,round((sum((Prelim!E47/Prelim!$E$19)*50)+50),0))</f>
        <v/>
      </c>
      <c r="AA47" s="216" t="str">
        <f>IF(Prelim!F47="",,(round((sum((Prelim!F47/Prelim!$F$19)*50)+50),0)))</f>
        <v/>
      </c>
      <c r="AB47" s="216" t="str">
        <f>IF(Prelim!G47="",,(round((sum((Prelim!G47/Prelim!$G$19)*50)+50),0)))</f>
        <v/>
      </c>
      <c r="AC47" s="216" t="str">
        <f>IF(Midterm!C47="",,(round((sum((Midterm!C47/Midterm!$C$19)*50)+50),0)))</f>
        <v/>
      </c>
      <c r="AD47" s="216" t="str">
        <f>IF(Midterm!D47="",,(round((sum((Midterm!D47/Midterm!$D$19)*50)+50),0)))</f>
        <v/>
      </c>
      <c r="AE47" s="216" t="str">
        <f>IF(Midterm!E47="",,(round((sum((Midterm!E47/Midterm!$E$19)*50)+50),0)))</f>
        <v/>
      </c>
      <c r="AF47" s="216" t="str">
        <f>IF(Midterm!F47="",,(round((sum((Midterm!F47/Midterm!$F$19)*50)+50),0)))</f>
        <v/>
      </c>
      <c r="AG47" s="216" t="str">
        <f>IF(Midterm!G47="",,(round((sum((Midterm!G47/Midterm!$G$19)*50)+50),0)))</f>
        <v/>
      </c>
      <c r="AH47" s="216" t="str">
        <f>IF(PreFinal!C47="",,(round((sum((PreFinal!C47/PreFinal!$C$19)*50)+50),0)))</f>
        <v/>
      </c>
      <c r="AI47" s="216" t="str">
        <f>IF(PreFinal!D47="",,(round((sum((PreFinal!D47/PreFinal!$D$19)*50)+50),0)))</f>
        <v/>
      </c>
      <c r="AJ47" s="216" t="str">
        <f>IF(PreFinal!E47="",,(round((sum((PreFinal!E47/PreFinal!$E$19)*50)+50),0)))</f>
        <v/>
      </c>
      <c r="AK47" s="216" t="str">
        <f>IF(PreFinal!F47="",,(round((sum((PreFinal!F47/PreFinal!$F$19)*50)+50),0)))</f>
        <v/>
      </c>
      <c r="AL47" s="216" t="str">
        <f>IF(PreFinal!G47="",,(round((sum((PreFinal!G47/PreFinal!$G$19)*50)+50),0)))</f>
        <v/>
      </c>
      <c r="AM47" s="217"/>
      <c r="AN47" s="4"/>
    </row>
    <row r="48" ht="26.25" customHeight="1">
      <c r="A48" s="225"/>
      <c r="B48" s="225"/>
      <c r="C48" s="226">
        <v>29.0</v>
      </c>
      <c r="D48" s="227" t="str">
        <f>Prelim!$B48</f>
        <v/>
      </c>
      <c r="E48" s="228"/>
      <c r="F48" s="229">
        <f t="shared" si="1"/>
        <v>0</v>
      </c>
      <c r="G48" s="229">
        <f>round(iferror((AVERAGE(Prelim!H48:K48)*MConfig!$D$15),)+iferror((average(Prelim!L48:O48)*MConfig!$D$16),)+iferror((average(Prelim!P48:S48)*MConfig!$D$17),),0)</f>
        <v>0</v>
      </c>
      <c r="H48" s="229">
        <f>round(sum(F48*MConfig!$E$13)+(G48*MConfig!$E$14),0)</f>
        <v>0</v>
      </c>
      <c r="I48" s="229" t="str">
        <f>  if(Prelim!T48="",,  (round(sum((Prelim!T48/Prelim!$T$19)*50)+50,0)))</f>
        <v/>
      </c>
      <c r="J48" s="230" t="str">
        <f>IF(I48="",,round(SUM((H48*MConfig!$F$12)+(I48*MConfig!$F$11)),0))</f>
        <v/>
      </c>
      <c r="K48" s="231" t="str">
        <f>IFNA(IF(Prelim!U48="DRP","DRP",vlookup(J48,MConfig!$B$25:$C$33,2)),"")</f>
        <v/>
      </c>
      <c r="L48" s="229">
        <f t="shared" si="2"/>
        <v>0</v>
      </c>
      <c r="M48" s="229">
        <f>round(iferror((AVERAGE(Midterm!H48:K48)*MConfig!$G$15),)+iferror((average(Midterm!L48:O48)*MConfig!$G$16),)+iferror((average(Midterm!P48:S48)*MConfig!$G$17),),0)</f>
        <v>0</v>
      </c>
      <c r="N48" s="232">
        <f>round(SUM(L48*MConfig!$H$13)+(M48*MConfig!$H$14),0)</f>
        <v>0</v>
      </c>
      <c r="O48" s="232" t="str">
        <f>IF(Midterm!T48="",, (round(sum((Midterm!T48/Midterm!$T$19)*50)+50,0)))</f>
        <v/>
      </c>
      <c r="P48" s="230" t="str">
        <f>IF(O48="",,round(SUM((N48*MConfig!$I$12)+(O48*MConfig!$I$11)),0))</f>
        <v/>
      </c>
      <c r="Q48" s="233" t="str">
        <f>IFNA(IF(Midterm!U48="DRP","DRP",vlookup(P48,MConfig!$B$25:$C$33,2)),"")</f>
        <v/>
      </c>
      <c r="R48" s="234">
        <f t="shared" si="3"/>
        <v>0</v>
      </c>
      <c r="S48" s="234">
        <f>round(iferror((AVERAGE(PreFinal!H48:K48)*MConfig!$J$15),)+iferror((average(PreFinal!L48:O48)*MConfig!$J$16),)+iferror((average(PreFinal!P48:S48)*MConfig!$J$17),)+((PreFinal!T48)*MConfig!$J$18),0)</f>
        <v>0</v>
      </c>
      <c r="T48" s="234">
        <f>ROUND(SUM(R48*MConfig!$K$13)+(S48*MConfig!$K$14),0)</f>
        <v>0</v>
      </c>
      <c r="U48" s="229" t="str">
        <f>IF(PreFinal!U48="",,(round(sum((PreFinal!U48/PreFinal!$U$19)*50)+50,0)))</f>
        <v/>
      </c>
      <c r="V48" s="230" t="str">
        <f t="shared" si="4"/>
        <v/>
      </c>
      <c r="W48" s="233" t="str">
        <f>IFNA(IF(PreFinal!V48="DRP","DRP",vlookup(V48,MConfig!$B$25:$C$33,2)),"")</f>
        <v/>
      </c>
      <c r="X48" s="216" t="str">
        <f>IF(Prelim!C48="",,(round((sum((Prelim!C48/Prelim!$C$19)*50)+50),0)))</f>
        <v/>
      </c>
      <c r="Y48" s="216" t="str">
        <f>IF(Prelim!D48="",,(round((sum((Prelim!D48/Prelim!$D$19)*50)+50),0)))</f>
        <v/>
      </c>
      <c r="Z48" s="216" t="str">
        <f>IF(Prelim!E48="",,round((sum((Prelim!E48/Prelim!$E$19)*50)+50),0))</f>
        <v/>
      </c>
      <c r="AA48" s="216" t="str">
        <f>IF(Prelim!F48="",,(round((sum((Prelim!F48/Prelim!$F$19)*50)+50),0)))</f>
        <v/>
      </c>
      <c r="AB48" s="216" t="str">
        <f>IF(Prelim!G48="",,(round((sum((Prelim!G48/Prelim!$G$19)*50)+50),0)))</f>
        <v/>
      </c>
      <c r="AC48" s="216" t="str">
        <f>IF(Midterm!C48="",,(round((sum((Midterm!C48/Midterm!$C$19)*50)+50),0)))</f>
        <v/>
      </c>
      <c r="AD48" s="216" t="str">
        <f>IF(Midterm!D48="",,(round((sum((Midterm!D48/Midterm!$D$19)*50)+50),0)))</f>
        <v/>
      </c>
      <c r="AE48" s="216" t="str">
        <f>IF(Midterm!E48="",,(round((sum((Midterm!E48/Midterm!$E$19)*50)+50),0)))</f>
        <v/>
      </c>
      <c r="AF48" s="216" t="str">
        <f>IF(Midterm!F48="",,(round((sum((Midterm!F48/Midterm!$F$19)*50)+50),0)))</f>
        <v/>
      </c>
      <c r="AG48" s="216" t="str">
        <f>IF(Midterm!G48="",,(round((sum((Midterm!G48/Midterm!$G$19)*50)+50),0)))</f>
        <v/>
      </c>
      <c r="AH48" s="216" t="str">
        <f>IF(PreFinal!C48="",,(round((sum((PreFinal!C48/PreFinal!$C$19)*50)+50),0)))</f>
        <v/>
      </c>
      <c r="AI48" s="216" t="str">
        <f>IF(PreFinal!D48="",,(round((sum((PreFinal!D48/PreFinal!$D$19)*50)+50),0)))</f>
        <v/>
      </c>
      <c r="AJ48" s="216" t="str">
        <f>IF(PreFinal!E48="",,(round((sum((PreFinal!E48/PreFinal!$E$19)*50)+50),0)))</f>
        <v/>
      </c>
      <c r="AK48" s="216" t="str">
        <f>IF(PreFinal!F48="",,(round((sum((PreFinal!F48/PreFinal!$F$19)*50)+50),0)))</f>
        <v/>
      </c>
      <c r="AL48" s="216" t="str">
        <f>IF(PreFinal!G48="",,(round((sum((PreFinal!G48/PreFinal!$G$19)*50)+50),0)))</f>
        <v/>
      </c>
      <c r="AM48" s="217"/>
      <c r="AN48" s="4"/>
    </row>
    <row r="49" ht="26.25" customHeight="1">
      <c r="A49" s="225"/>
      <c r="B49" s="225"/>
      <c r="C49" s="226">
        <v>30.0</v>
      </c>
      <c r="D49" s="227" t="str">
        <f>Prelim!$B49</f>
        <v/>
      </c>
      <c r="E49" s="228"/>
      <c r="F49" s="229">
        <f t="shared" si="1"/>
        <v>0</v>
      </c>
      <c r="G49" s="229">
        <f>round(iferror((AVERAGE(Prelim!H49:K49)*MConfig!$D$15),)+iferror((average(Prelim!L49:O49)*MConfig!$D$16),)+iferror((average(Prelim!P49:S49)*MConfig!$D$17),),0)</f>
        <v>0</v>
      </c>
      <c r="H49" s="229">
        <f>round(sum(F49*MConfig!$E$13)+(G49*MConfig!$E$14),0)</f>
        <v>0</v>
      </c>
      <c r="I49" s="229" t="str">
        <f>  if(Prelim!T49="",,  (round(sum((Prelim!T49/Prelim!$T$19)*50)+50,0)))</f>
        <v/>
      </c>
      <c r="J49" s="230" t="str">
        <f>IF(I49="",,round(SUM((H49*MConfig!$F$12)+(I49*MConfig!$F$11)),0))</f>
        <v/>
      </c>
      <c r="K49" s="231" t="str">
        <f>IFNA(IF(Prelim!U49="DRP","DRP",vlookup(J49,MConfig!$B$25:$C$33,2)),"")</f>
        <v/>
      </c>
      <c r="L49" s="229">
        <f t="shared" si="2"/>
        <v>0</v>
      </c>
      <c r="M49" s="229">
        <f>round(iferror((AVERAGE(Midterm!H49:K49)*MConfig!$G$15),)+iferror((average(Midterm!L49:O49)*MConfig!$G$16),)+iferror((average(Midterm!P49:S49)*MConfig!$G$17),),0)</f>
        <v>0</v>
      </c>
      <c r="N49" s="232">
        <f>round(SUM(L49*MConfig!$H$13)+(M49*MConfig!$H$14),0)</f>
        <v>0</v>
      </c>
      <c r="O49" s="232" t="str">
        <f>IF(Midterm!T49="",, (round(sum((Midterm!T49/Midterm!$T$19)*50)+50,0)))</f>
        <v/>
      </c>
      <c r="P49" s="230" t="str">
        <f>IF(O49="",,round(SUM((N49*MConfig!$I$12)+(O49*MConfig!$I$11)),0))</f>
        <v/>
      </c>
      <c r="Q49" s="233" t="str">
        <f>IFNA(IF(Midterm!U49="DRP","DRP",vlookup(P49,MConfig!$B$25:$C$33,2)),"")</f>
        <v/>
      </c>
      <c r="R49" s="234">
        <f t="shared" si="3"/>
        <v>0</v>
      </c>
      <c r="S49" s="234">
        <f>round(iferror((AVERAGE(PreFinal!H49:K49)*MConfig!$J$15),)+iferror((average(PreFinal!L49:O49)*MConfig!$J$16),)+iferror((average(PreFinal!P49:S49)*MConfig!$J$17),)+((PreFinal!T49)*MConfig!$J$18),0)</f>
        <v>0</v>
      </c>
      <c r="T49" s="234">
        <f>ROUND(SUM(R49*MConfig!$K$13)+(S49*MConfig!$K$14),0)</f>
        <v>0</v>
      </c>
      <c r="U49" s="229" t="str">
        <f>IF(PreFinal!U49="",,(round(sum((PreFinal!U49/PreFinal!$U$19)*50)+50,0)))</f>
        <v/>
      </c>
      <c r="V49" s="230" t="str">
        <f t="shared" si="4"/>
        <v/>
      </c>
      <c r="W49" s="233" t="str">
        <f>IFNA(IF(PreFinal!V49="DRP","DRP",vlookup(V49,MConfig!$B$25:$C$33,2)),"")</f>
        <v/>
      </c>
      <c r="X49" s="216" t="str">
        <f>IF(Prelim!C49="",,(round((sum((Prelim!C49/Prelim!$C$19)*50)+50),0)))</f>
        <v/>
      </c>
      <c r="Y49" s="216" t="str">
        <f>IF(Prelim!D49="",,(round((sum((Prelim!D49/Prelim!$D$19)*50)+50),0)))</f>
        <v/>
      </c>
      <c r="Z49" s="216" t="str">
        <f>IF(Prelim!E49="",,round((sum((Prelim!E49/Prelim!$E$19)*50)+50),0))</f>
        <v/>
      </c>
      <c r="AA49" s="216" t="str">
        <f>IF(Prelim!F49="",,(round((sum((Prelim!F49/Prelim!$F$19)*50)+50),0)))</f>
        <v/>
      </c>
      <c r="AB49" s="216" t="str">
        <f>IF(Prelim!G49="",,(round((sum((Prelim!G49/Prelim!$G$19)*50)+50),0)))</f>
        <v/>
      </c>
      <c r="AC49" s="216" t="str">
        <f>IF(Midterm!C49="",,(round((sum((Midterm!C49/Midterm!$C$19)*50)+50),0)))</f>
        <v/>
      </c>
      <c r="AD49" s="216" t="str">
        <f>IF(Midterm!D49="",,(round((sum((Midterm!D49/Midterm!$D$19)*50)+50),0)))</f>
        <v/>
      </c>
      <c r="AE49" s="216" t="str">
        <f>IF(Midterm!E49="",,(round((sum((Midterm!E49/Midterm!$E$19)*50)+50),0)))</f>
        <v/>
      </c>
      <c r="AF49" s="216" t="str">
        <f>IF(Midterm!F49="",,(round((sum((Midterm!F49/Midterm!$F$19)*50)+50),0)))</f>
        <v/>
      </c>
      <c r="AG49" s="216" t="str">
        <f>IF(Midterm!G49="",,(round((sum((Midterm!G49/Midterm!$G$19)*50)+50),0)))</f>
        <v/>
      </c>
      <c r="AH49" s="216" t="str">
        <f>IF(PreFinal!C49="",,(round((sum((PreFinal!C49/PreFinal!$C$19)*50)+50),0)))</f>
        <v/>
      </c>
      <c r="AI49" s="216" t="str">
        <f>IF(PreFinal!D49="",,(round((sum((PreFinal!D49/PreFinal!$D$19)*50)+50),0)))</f>
        <v/>
      </c>
      <c r="AJ49" s="216" t="str">
        <f>IF(PreFinal!E49="",,(round((sum((PreFinal!E49/PreFinal!$E$19)*50)+50),0)))</f>
        <v/>
      </c>
      <c r="AK49" s="216" t="str">
        <f>IF(PreFinal!F49="",,(round((sum((PreFinal!F49/PreFinal!$F$19)*50)+50),0)))</f>
        <v/>
      </c>
      <c r="AL49" s="216" t="str">
        <f>IF(PreFinal!G49="",,(round((sum((PreFinal!G49/PreFinal!$G$19)*50)+50),0)))</f>
        <v/>
      </c>
      <c r="AM49" s="217"/>
      <c r="AN49" s="4"/>
    </row>
    <row r="50" ht="26.25" customHeight="1">
      <c r="A50" s="225"/>
      <c r="B50" s="225"/>
      <c r="C50" s="226">
        <v>31.0</v>
      </c>
      <c r="D50" s="227" t="str">
        <f>Prelim!$B50</f>
        <v/>
      </c>
      <c r="E50" s="228"/>
      <c r="F50" s="229">
        <f t="shared" si="1"/>
        <v>0</v>
      </c>
      <c r="G50" s="229">
        <f>round(iferror((AVERAGE(Prelim!H50:K50)*MConfig!$D$15),)+iferror((average(Prelim!L50:O50)*MConfig!$D$16),)+iferror((average(Prelim!P50:S50)*MConfig!$D$17),),0)</f>
        <v>0</v>
      </c>
      <c r="H50" s="229">
        <f>round(sum(F50*MConfig!$E$13)+(G50*MConfig!$E$14),0)</f>
        <v>0</v>
      </c>
      <c r="I50" s="229" t="str">
        <f>  if(Prelim!T50="",,  (round(sum((Prelim!T50/Prelim!$T$19)*50)+50,0)))</f>
        <v/>
      </c>
      <c r="J50" s="230" t="str">
        <f>IF(I50="",,round(SUM((H50*MConfig!$F$12)+(I50*MConfig!$F$11)),0))</f>
        <v/>
      </c>
      <c r="K50" s="231" t="str">
        <f>IFNA(IF(Prelim!U50="DRP","DRP",vlookup(J50,MConfig!$B$25:$C$33,2)),"")</f>
        <v/>
      </c>
      <c r="L50" s="229">
        <f t="shared" si="2"/>
        <v>0</v>
      </c>
      <c r="M50" s="229">
        <f>round(iferror((AVERAGE(Midterm!H50:K50)*MConfig!$G$15),)+iferror((average(Midterm!L50:O50)*MConfig!$G$16),)+iferror((average(Midterm!P50:S50)*MConfig!$G$17),),0)</f>
        <v>0</v>
      </c>
      <c r="N50" s="232">
        <f>round(SUM(L50*MConfig!$H$13)+(M50*MConfig!$H$14),0)</f>
        <v>0</v>
      </c>
      <c r="O50" s="232" t="str">
        <f>IF(Midterm!T50="",, (round(sum((Midterm!T50/Midterm!$T$19)*50)+50,0)))</f>
        <v/>
      </c>
      <c r="P50" s="230" t="str">
        <f>IF(O50="",,round(SUM((N50*MConfig!$I$12)+(O50*MConfig!$I$11)),0))</f>
        <v/>
      </c>
      <c r="Q50" s="233" t="str">
        <f>IFNA(IF(Midterm!U50="DRP","DRP",vlookup(P50,MConfig!$B$25:$C$33,2)),"")</f>
        <v/>
      </c>
      <c r="R50" s="234">
        <f t="shared" si="3"/>
        <v>0</v>
      </c>
      <c r="S50" s="234">
        <f>round(iferror((AVERAGE(PreFinal!H50:K50)*MConfig!$J$15),)+iferror((average(PreFinal!L50:O50)*MConfig!$J$16),)+iferror((average(PreFinal!P50:S50)*MConfig!$J$17),)+((PreFinal!T50)*MConfig!$J$18),0)</f>
        <v>0</v>
      </c>
      <c r="T50" s="234">
        <f>ROUND(SUM(R50*MConfig!$K$13)+(S50*MConfig!$K$14),0)</f>
        <v>0</v>
      </c>
      <c r="U50" s="229" t="str">
        <f>IF(PreFinal!U50="",,(round(sum((PreFinal!U50/PreFinal!$U$19)*50)+50,0)))</f>
        <v/>
      </c>
      <c r="V50" s="230" t="str">
        <f t="shared" si="4"/>
        <v/>
      </c>
      <c r="W50" s="233" t="str">
        <f>IFNA(IF(PreFinal!V50="DRP","DRP",vlookup(V50,MConfig!$B$25:$C$33,2)),"")</f>
        <v/>
      </c>
      <c r="X50" s="216" t="str">
        <f>IF(Prelim!C50="",,(round((sum((Prelim!C50/Prelim!$C$19)*50)+50),0)))</f>
        <v/>
      </c>
      <c r="Y50" s="216" t="str">
        <f>IF(Prelim!D50="",,(round((sum((Prelim!D50/Prelim!$D$19)*50)+50),0)))</f>
        <v/>
      </c>
      <c r="Z50" s="216" t="str">
        <f>IF(Prelim!E50="",,round((sum((Prelim!E50/Prelim!$E$19)*50)+50),0))</f>
        <v/>
      </c>
      <c r="AA50" s="216" t="str">
        <f>IF(Prelim!F50="",,(round((sum((Prelim!F50/Prelim!$F$19)*50)+50),0)))</f>
        <v/>
      </c>
      <c r="AB50" s="216" t="str">
        <f>IF(Prelim!G50="",,(round((sum((Prelim!G50/Prelim!$G$19)*50)+50),0)))</f>
        <v/>
      </c>
      <c r="AC50" s="216" t="str">
        <f>IF(Midterm!C50="",,(round((sum((Midterm!C50/Midterm!$C$19)*50)+50),0)))</f>
        <v/>
      </c>
      <c r="AD50" s="216" t="str">
        <f>IF(Midterm!D50="",,(round((sum((Midterm!D50/Midterm!$D$19)*50)+50),0)))</f>
        <v/>
      </c>
      <c r="AE50" s="216" t="str">
        <f>IF(Midterm!E50="",,(round((sum((Midterm!E50/Midterm!$E$19)*50)+50),0)))</f>
        <v/>
      </c>
      <c r="AF50" s="216" t="str">
        <f>IF(Midterm!F50="",,(round((sum((Midterm!F50/Midterm!$F$19)*50)+50),0)))</f>
        <v/>
      </c>
      <c r="AG50" s="216" t="str">
        <f>IF(Midterm!G50="",,(round((sum((Midterm!G50/Midterm!$G$19)*50)+50),0)))</f>
        <v/>
      </c>
      <c r="AH50" s="216" t="str">
        <f>IF(PreFinal!C50="",,(round((sum((PreFinal!C50/PreFinal!$C$19)*50)+50),0)))</f>
        <v/>
      </c>
      <c r="AI50" s="216" t="str">
        <f>IF(PreFinal!D50="",,(round((sum((PreFinal!D50/PreFinal!$D$19)*50)+50),0)))</f>
        <v/>
      </c>
      <c r="AJ50" s="216" t="str">
        <f>IF(PreFinal!E50="",,(round((sum((PreFinal!E50/PreFinal!$E$19)*50)+50),0)))</f>
        <v/>
      </c>
      <c r="AK50" s="216" t="str">
        <f>IF(PreFinal!F50="",,(round((sum((PreFinal!F50/PreFinal!$F$19)*50)+50),0)))</f>
        <v/>
      </c>
      <c r="AL50" s="216" t="str">
        <f>IF(PreFinal!G50="",,(round((sum((PreFinal!G50/PreFinal!$G$19)*50)+50),0)))</f>
        <v/>
      </c>
      <c r="AM50" s="217"/>
      <c r="AN50" s="4"/>
    </row>
    <row r="51" ht="26.25" customHeight="1">
      <c r="A51" s="225"/>
      <c r="B51" s="225"/>
      <c r="C51" s="226">
        <v>32.0</v>
      </c>
      <c r="D51" s="227" t="str">
        <f>Prelim!$B51</f>
        <v/>
      </c>
      <c r="E51" s="228"/>
      <c r="F51" s="229">
        <f t="shared" si="1"/>
        <v>0</v>
      </c>
      <c r="G51" s="229">
        <f>round(iferror((AVERAGE(Prelim!H51:K51)*MConfig!$D$15),)+iferror((average(Prelim!L51:O51)*MConfig!$D$16),)+iferror((average(Prelim!P51:S51)*MConfig!$D$17),),0)</f>
        <v>0</v>
      </c>
      <c r="H51" s="229">
        <f>round(sum(F51*MConfig!$E$13)+(G51*MConfig!$E$14),0)</f>
        <v>0</v>
      </c>
      <c r="I51" s="229" t="str">
        <f>  if(Prelim!T51="",,  (round(sum((Prelim!T51/Prelim!$T$19)*50)+50,0)))</f>
        <v/>
      </c>
      <c r="J51" s="230" t="str">
        <f>IF(I51="",,round(SUM((H51*MConfig!$F$12)+(I51*MConfig!$F$11)),0))</f>
        <v/>
      </c>
      <c r="K51" s="231" t="str">
        <f>IFNA(IF(Prelim!U51="DRP","DRP",vlookup(J51,MConfig!$B$25:$C$33,2)),"")</f>
        <v/>
      </c>
      <c r="L51" s="229">
        <f t="shared" si="2"/>
        <v>0</v>
      </c>
      <c r="M51" s="229">
        <f>round(iferror((AVERAGE(Midterm!H51:K51)*MConfig!$G$15),)+iferror((average(Midterm!L51:O51)*MConfig!$G$16),)+iferror((average(Midterm!P51:S51)*MConfig!$G$17),),0)</f>
        <v>0</v>
      </c>
      <c r="N51" s="232">
        <f>round(SUM(L51*MConfig!$H$13)+(M51*MConfig!$H$14),0)</f>
        <v>0</v>
      </c>
      <c r="O51" s="232" t="str">
        <f>IF(Midterm!T51="",, (round(sum((Midterm!T51/Midterm!$T$19)*50)+50,0)))</f>
        <v/>
      </c>
      <c r="P51" s="230" t="str">
        <f>IF(O51="",,round(SUM((N51*MConfig!$I$12)+(O51*MConfig!$I$11)),0))</f>
        <v/>
      </c>
      <c r="Q51" s="233" t="str">
        <f>IFNA(IF(Midterm!U51="DRP","DRP",vlookup(P51,MConfig!$B$25:$C$33,2)),"")</f>
        <v/>
      </c>
      <c r="R51" s="234">
        <f t="shared" si="3"/>
        <v>0</v>
      </c>
      <c r="S51" s="234">
        <f>round(iferror((AVERAGE(PreFinal!H51:K51)*MConfig!$J$15),)+iferror((average(PreFinal!L51:O51)*MConfig!$J$16),)+iferror((average(PreFinal!P51:S51)*MConfig!$J$17),)+((PreFinal!T51)*MConfig!$J$18),0)</f>
        <v>0</v>
      </c>
      <c r="T51" s="234">
        <f>ROUND(SUM(R51*MConfig!$K$13)+(S51*MConfig!$K$14),0)</f>
        <v>0</v>
      </c>
      <c r="U51" s="229" t="str">
        <f>IF(PreFinal!U51="",,(round(sum((PreFinal!U51/PreFinal!$U$19)*50)+50,0)))</f>
        <v/>
      </c>
      <c r="V51" s="230" t="str">
        <f t="shared" si="4"/>
        <v/>
      </c>
      <c r="W51" s="233" t="str">
        <f>IFNA(IF(PreFinal!V51="DRP","DRP",vlookup(V51,MConfig!$B$25:$C$33,2)),"")</f>
        <v/>
      </c>
      <c r="X51" s="216" t="str">
        <f>IF(Prelim!C51="",,(round((sum((Prelim!C51/Prelim!$C$19)*50)+50),0)))</f>
        <v/>
      </c>
      <c r="Y51" s="216" t="str">
        <f>IF(Prelim!D51="",,(round((sum((Prelim!D51/Prelim!$D$19)*50)+50),0)))</f>
        <v/>
      </c>
      <c r="Z51" s="216" t="str">
        <f>IF(Prelim!E51="",,round((sum((Prelim!E51/Prelim!$E$19)*50)+50),0))</f>
        <v/>
      </c>
      <c r="AA51" s="216" t="str">
        <f>IF(Prelim!F51="",,(round((sum((Prelim!F51/Prelim!$F$19)*50)+50),0)))</f>
        <v/>
      </c>
      <c r="AB51" s="216" t="str">
        <f>IF(Prelim!G51="",,(round((sum((Prelim!G51/Prelim!$G$19)*50)+50),0)))</f>
        <v/>
      </c>
      <c r="AC51" s="216" t="str">
        <f>IF(Midterm!C51="",,(round((sum((Midterm!C51/Midterm!$C$19)*50)+50),0)))</f>
        <v/>
      </c>
      <c r="AD51" s="216" t="str">
        <f>IF(Midterm!D51="",,(round((sum((Midterm!D51/Midterm!$D$19)*50)+50),0)))</f>
        <v/>
      </c>
      <c r="AE51" s="216" t="str">
        <f>IF(Midterm!E51="",,(round((sum((Midterm!E51/Midterm!$E$19)*50)+50),0)))</f>
        <v/>
      </c>
      <c r="AF51" s="216" t="str">
        <f>IF(Midterm!F51="",,(round((sum((Midterm!F51/Midterm!$F$19)*50)+50),0)))</f>
        <v/>
      </c>
      <c r="AG51" s="216" t="str">
        <f>IF(Midterm!G51="",,(round((sum((Midterm!G51/Midterm!$G$19)*50)+50),0)))</f>
        <v/>
      </c>
      <c r="AH51" s="216" t="str">
        <f>IF(PreFinal!C51="",,(round((sum((PreFinal!C51/PreFinal!$C$19)*50)+50),0)))</f>
        <v/>
      </c>
      <c r="AI51" s="216" t="str">
        <f>IF(PreFinal!D51="",,(round((sum((PreFinal!D51/PreFinal!$D$19)*50)+50),0)))</f>
        <v/>
      </c>
      <c r="AJ51" s="216" t="str">
        <f>IF(PreFinal!E51="",,(round((sum((PreFinal!E51/PreFinal!$E$19)*50)+50),0)))</f>
        <v/>
      </c>
      <c r="AK51" s="216" t="str">
        <f>IF(PreFinal!F51="",,(round((sum((PreFinal!F51/PreFinal!$F$19)*50)+50),0)))</f>
        <v/>
      </c>
      <c r="AL51" s="216" t="str">
        <f>IF(PreFinal!G51="",,(round((sum((PreFinal!G51/PreFinal!$G$19)*50)+50),0)))</f>
        <v/>
      </c>
      <c r="AM51" s="217"/>
      <c r="AN51" s="4"/>
    </row>
    <row r="52" ht="26.25" customHeight="1">
      <c r="A52" s="225"/>
      <c r="B52" s="225"/>
      <c r="C52" s="226">
        <v>33.0</v>
      </c>
      <c r="D52" s="227" t="str">
        <f>Prelim!$B52</f>
        <v/>
      </c>
      <c r="E52" s="228"/>
      <c r="F52" s="229">
        <f t="shared" si="1"/>
        <v>0</v>
      </c>
      <c r="G52" s="229">
        <f>round(iferror((AVERAGE(Prelim!H52:K52)*MConfig!$D$15),)+iferror((average(Prelim!L52:O52)*MConfig!$D$16),)+iferror((average(Prelim!P52:S52)*MConfig!$D$17),),0)</f>
        <v>0</v>
      </c>
      <c r="H52" s="229">
        <f>round(sum(F52*MConfig!$E$13)+(G52*MConfig!$E$14),0)</f>
        <v>0</v>
      </c>
      <c r="I52" s="229" t="str">
        <f>  if(Prelim!T52="",,  (round(sum((Prelim!T52/Prelim!$T$19)*50)+50,0)))</f>
        <v/>
      </c>
      <c r="J52" s="230" t="str">
        <f>IF(I52="",,round(SUM((H52*MConfig!$F$12)+(I52*MConfig!$F$11)),0))</f>
        <v/>
      </c>
      <c r="K52" s="231" t="str">
        <f>IFNA(IF(Prelim!U52="DRP","DRP",vlookup(J52,MConfig!$B$25:$C$33,2)),"")</f>
        <v/>
      </c>
      <c r="L52" s="229">
        <f t="shared" si="2"/>
        <v>0</v>
      </c>
      <c r="M52" s="229">
        <f>round(iferror((AVERAGE(Midterm!H52:K52)*MConfig!$G$15),)+iferror((average(Midterm!L52:O52)*MConfig!$G$16),)+iferror((average(Midterm!P52:S52)*MConfig!$G$17),),0)</f>
        <v>0</v>
      </c>
      <c r="N52" s="232">
        <f>round(SUM(L52*MConfig!$H$13)+(M52*MConfig!$H$14),0)</f>
        <v>0</v>
      </c>
      <c r="O52" s="232" t="str">
        <f>IF(Midterm!T52="",, (round(sum((Midterm!T52/Midterm!$T$19)*50)+50,0)))</f>
        <v/>
      </c>
      <c r="P52" s="230" t="str">
        <f>IF(O52="",,round(SUM((N52*MConfig!$I$12)+(O52*MConfig!$I$11)),0))</f>
        <v/>
      </c>
      <c r="Q52" s="233" t="str">
        <f>IFNA(IF(Midterm!U52="DRP","DRP",vlookup(P52,MConfig!$B$25:$C$33,2)),"")</f>
        <v/>
      </c>
      <c r="R52" s="234">
        <f t="shared" si="3"/>
        <v>0</v>
      </c>
      <c r="S52" s="234">
        <f>round(iferror((AVERAGE(PreFinal!H52:K52)*MConfig!$J$15),)+iferror((average(PreFinal!L52:O52)*MConfig!$J$16),)+iferror((average(PreFinal!P52:S52)*MConfig!$J$17),)+((PreFinal!T52)*MConfig!$J$18),0)</f>
        <v>0</v>
      </c>
      <c r="T52" s="234">
        <f>ROUND(SUM(R52*MConfig!$K$13)+(S52*MConfig!$K$14),0)</f>
        <v>0</v>
      </c>
      <c r="U52" s="229" t="str">
        <f>IF(PreFinal!U52="",,(round(sum((PreFinal!U52/PreFinal!$U$19)*50)+50,0)))</f>
        <v/>
      </c>
      <c r="V52" s="230" t="str">
        <f t="shared" si="4"/>
        <v/>
      </c>
      <c r="W52" s="233" t="str">
        <f>IFNA(IF(PreFinal!V52="DRP","DRP",vlookup(V52,MConfig!$B$25:$C$33,2)),"")</f>
        <v/>
      </c>
      <c r="X52" s="216" t="str">
        <f>IF(Prelim!C52="",,(round((sum((Prelim!C52/Prelim!$C$19)*50)+50),0)))</f>
        <v/>
      </c>
      <c r="Y52" s="216" t="str">
        <f>IF(Prelim!D52="",,(round((sum((Prelim!D52/Prelim!$D$19)*50)+50),0)))</f>
        <v/>
      </c>
      <c r="Z52" s="216" t="str">
        <f>IF(Prelim!E52="",,round((sum((Prelim!E52/Prelim!$E$19)*50)+50),0))</f>
        <v/>
      </c>
      <c r="AA52" s="216" t="str">
        <f>IF(Prelim!F52="",,(round((sum((Prelim!F52/Prelim!$F$19)*50)+50),0)))</f>
        <v/>
      </c>
      <c r="AB52" s="216" t="str">
        <f>IF(Prelim!G52="",,(round((sum((Prelim!G52/Prelim!$G$19)*50)+50),0)))</f>
        <v/>
      </c>
      <c r="AC52" s="216" t="str">
        <f>IF(Midterm!C52="",,(round((sum((Midterm!C52/Midterm!$C$19)*50)+50),0)))</f>
        <v/>
      </c>
      <c r="AD52" s="216" t="str">
        <f>IF(Midterm!D52="",,(round((sum((Midterm!D52/Midterm!$D$19)*50)+50),0)))</f>
        <v/>
      </c>
      <c r="AE52" s="216" t="str">
        <f>IF(Midterm!E52="",,(round((sum((Midterm!E52/Midterm!$E$19)*50)+50),0)))</f>
        <v/>
      </c>
      <c r="AF52" s="216" t="str">
        <f>IF(Midterm!F52="",,(round((sum((Midterm!F52/Midterm!$F$19)*50)+50),0)))</f>
        <v/>
      </c>
      <c r="AG52" s="216" t="str">
        <f>IF(Midterm!G52="",,(round((sum((Midterm!G52/Midterm!$G$19)*50)+50),0)))</f>
        <v/>
      </c>
      <c r="AH52" s="216" t="str">
        <f>IF(PreFinal!C52="",,(round((sum((PreFinal!C52/PreFinal!$C$19)*50)+50),0)))</f>
        <v/>
      </c>
      <c r="AI52" s="216" t="str">
        <f>IF(PreFinal!D52="",,(round((sum((PreFinal!D52/PreFinal!$D$19)*50)+50),0)))</f>
        <v/>
      </c>
      <c r="AJ52" s="216" t="str">
        <f>IF(PreFinal!E52="",,(round((sum((PreFinal!E52/PreFinal!$E$19)*50)+50),0)))</f>
        <v/>
      </c>
      <c r="AK52" s="216" t="str">
        <f>IF(PreFinal!F52="",,(round((sum((PreFinal!F52/PreFinal!$F$19)*50)+50),0)))</f>
        <v/>
      </c>
      <c r="AL52" s="216" t="str">
        <f>IF(PreFinal!G52="",,(round((sum((PreFinal!G52/PreFinal!$G$19)*50)+50),0)))</f>
        <v/>
      </c>
      <c r="AM52" s="217"/>
      <c r="AN52" s="4"/>
    </row>
    <row r="53" ht="26.25" customHeight="1">
      <c r="A53" s="225"/>
      <c r="B53" s="225"/>
      <c r="C53" s="226">
        <v>34.0</v>
      </c>
      <c r="D53" s="227" t="str">
        <f>Prelim!$B53</f>
        <v/>
      </c>
      <c r="E53" s="228"/>
      <c r="F53" s="229">
        <f t="shared" si="1"/>
        <v>0</v>
      </c>
      <c r="G53" s="229">
        <f>round(iferror((AVERAGE(Prelim!H53:K53)*MConfig!$D$15),)+iferror((average(Prelim!L53:O53)*MConfig!$D$16),)+iferror((average(Prelim!P53:S53)*MConfig!$D$17),),0)</f>
        <v>0</v>
      </c>
      <c r="H53" s="229">
        <f>round(sum(F53*MConfig!$E$13)+(G53*MConfig!$E$14),0)</f>
        <v>0</v>
      </c>
      <c r="I53" s="229" t="str">
        <f>  if(Prelim!T53="",,  (round(sum((Prelim!T53/Prelim!$T$19)*50)+50,0)))</f>
        <v/>
      </c>
      <c r="J53" s="230" t="str">
        <f>IF(I53="",,round(SUM((H53*MConfig!$F$12)+(I53*MConfig!$F$11)),0))</f>
        <v/>
      </c>
      <c r="K53" s="231" t="str">
        <f>IFNA(IF(Prelim!U53="DRP","DRP",vlookup(J53,MConfig!$B$25:$C$33,2)),"")</f>
        <v/>
      </c>
      <c r="L53" s="229">
        <f t="shared" si="2"/>
        <v>0</v>
      </c>
      <c r="M53" s="229">
        <f>round(iferror((AVERAGE(Midterm!H53:K53)*MConfig!$G$15),)+iferror((average(Midterm!L53:O53)*MConfig!$G$16),)+iferror((average(Midterm!P53:S53)*MConfig!$G$17),),0)</f>
        <v>0</v>
      </c>
      <c r="N53" s="232">
        <f>round(SUM(L53*MConfig!$H$13)+(M53*MConfig!$H$14),0)</f>
        <v>0</v>
      </c>
      <c r="O53" s="232" t="str">
        <f>IF(Midterm!T53="",, (round(sum((Midterm!T53/Midterm!$T$19)*50)+50,0)))</f>
        <v/>
      </c>
      <c r="P53" s="230" t="str">
        <f>IF(O53="",,round(SUM((N53*MConfig!$I$12)+(O53*MConfig!$I$11)),0))</f>
        <v/>
      </c>
      <c r="Q53" s="233" t="str">
        <f>IFNA(IF(Midterm!U53="DRP","DRP",vlookup(P53,MConfig!$B$25:$C$33,2)),"")</f>
        <v/>
      </c>
      <c r="R53" s="234">
        <f t="shared" si="3"/>
        <v>0</v>
      </c>
      <c r="S53" s="234">
        <f>round(iferror((AVERAGE(PreFinal!H53:K53)*MConfig!$J$15),)+iferror((average(PreFinal!L53:O53)*MConfig!$J$16),)+iferror((average(PreFinal!P53:S53)*MConfig!$J$17),)+((PreFinal!T53)*MConfig!$J$18),0)</f>
        <v>0</v>
      </c>
      <c r="T53" s="234">
        <f>ROUND(SUM(R53*MConfig!$K$13)+(S53*MConfig!$K$14),0)</f>
        <v>0</v>
      </c>
      <c r="U53" s="229" t="str">
        <f>IF(PreFinal!U53="",,(round(sum((PreFinal!U53/PreFinal!$U$19)*50)+50,0)))</f>
        <v/>
      </c>
      <c r="V53" s="230" t="str">
        <f t="shared" si="4"/>
        <v/>
      </c>
      <c r="W53" s="233" t="str">
        <f>IFNA(IF(PreFinal!V53="DRP","DRP",vlookup(V53,MConfig!$B$25:$C$33,2)),"")</f>
        <v/>
      </c>
      <c r="X53" s="216" t="str">
        <f>IF(Prelim!C53="",,(round((sum((Prelim!C53/Prelim!$C$19)*50)+50),0)))</f>
        <v/>
      </c>
      <c r="Y53" s="216" t="str">
        <f>IF(Prelim!D53="",,(round((sum((Prelim!D53/Prelim!$D$19)*50)+50),0)))</f>
        <v/>
      </c>
      <c r="Z53" s="216" t="str">
        <f>IF(Prelim!E53="",,round((sum((Prelim!E53/Prelim!$E$19)*50)+50),0))</f>
        <v/>
      </c>
      <c r="AA53" s="216" t="str">
        <f>IF(Prelim!F53="",,(round((sum((Prelim!F53/Prelim!$F$19)*50)+50),0)))</f>
        <v/>
      </c>
      <c r="AB53" s="216" t="str">
        <f>IF(Prelim!G53="",,(round((sum((Prelim!G53/Prelim!$G$19)*50)+50),0)))</f>
        <v/>
      </c>
      <c r="AC53" s="216" t="str">
        <f>IF(Midterm!C53="",,(round((sum((Midterm!C53/Midterm!$C$19)*50)+50),0)))</f>
        <v/>
      </c>
      <c r="AD53" s="216" t="str">
        <f>IF(Midterm!D53="",,(round((sum((Midterm!D53/Midterm!$D$19)*50)+50),0)))</f>
        <v/>
      </c>
      <c r="AE53" s="216" t="str">
        <f>IF(Midterm!E53="",,(round((sum((Midterm!E53/Midterm!$E$19)*50)+50),0)))</f>
        <v/>
      </c>
      <c r="AF53" s="216" t="str">
        <f>IF(Midterm!F53="",,(round((sum((Midterm!F53/Midterm!$F$19)*50)+50),0)))</f>
        <v/>
      </c>
      <c r="AG53" s="216" t="str">
        <f>IF(Midterm!G53="",,(round((sum((Midterm!G53/Midterm!$G$19)*50)+50),0)))</f>
        <v/>
      </c>
      <c r="AH53" s="216" t="str">
        <f>IF(PreFinal!C53="",,(round((sum((PreFinal!C53/PreFinal!$C$19)*50)+50),0)))</f>
        <v/>
      </c>
      <c r="AI53" s="216" t="str">
        <f>IF(PreFinal!D53="",,(round((sum((PreFinal!D53/PreFinal!$D$19)*50)+50),0)))</f>
        <v/>
      </c>
      <c r="AJ53" s="216" t="str">
        <f>IF(PreFinal!E53="",,(round((sum((PreFinal!E53/PreFinal!$E$19)*50)+50),0)))</f>
        <v/>
      </c>
      <c r="AK53" s="216" t="str">
        <f>IF(PreFinal!F53="",,(round((sum((PreFinal!F53/PreFinal!$F$19)*50)+50),0)))</f>
        <v/>
      </c>
      <c r="AL53" s="216" t="str">
        <f>IF(PreFinal!G53="",,(round((sum((PreFinal!G53/PreFinal!$G$19)*50)+50),0)))</f>
        <v/>
      </c>
      <c r="AM53" s="217"/>
      <c r="AN53" s="4"/>
    </row>
    <row r="54" ht="26.25" customHeight="1">
      <c r="A54" s="225"/>
      <c r="B54" s="225"/>
      <c r="C54" s="226">
        <v>35.0</v>
      </c>
      <c r="D54" s="227" t="str">
        <f>Prelim!$B54</f>
        <v/>
      </c>
      <c r="E54" s="228"/>
      <c r="F54" s="229">
        <f t="shared" si="1"/>
        <v>0</v>
      </c>
      <c r="G54" s="229">
        <f>round(iferror((AVERAGE(Prelim!H54:K54)*MConfig!$D$15),)+iferror((average(Prelim!L54:O54)*MConfig!$D$16),)+iferror((average(Prelim!P54:S54)*MConfig!$D$17),),0)</f>
        <v>0</v>
      </c>
      <c r="H54" s="229">
        <f>round(sum(F54*MConfig!$E$13)+(G54*MConfig!$E$14),0)</f>
        <v>0</v>
      </c>
      <c r="I54" s="229" t="str">
        <f>  if(Prelim!T54="",,  (round(sum((Prelim!T54/Prelim!$T$19)*50)+50,0)))</f>
        <v/>
      </c>
      <c r="J54" s="230" t="str">
        <f>IF(I54="",,round(SUM((H54*MConfig!$F$12)+(I54*MConfig!$F$11)),0))</f>
        <v/>
      </c>
      <c r="K54" s="231" t="str">
        <f>IFNA(IF(Prelim!U54="DRP","DRP",vlookup(J54,MConfig!$B$25:$C$33,2)),"")</f>
        <v/>
      </c>
      <c r="L54" s="229">
        <f t="shared" si="2"/>
        <v>0</v>
      </c>
      <c r="M54" s="229">
        <f>round(iferror((AVERAGE(Midterm!H54:K54)*MConfig!$G$15),)+iferror((average(Midterm!L54:O54)*MConfig!$G$16),)+iferror((average(Midterm!P54:S54)*MConfig!$G$17),),0)</f>
        <v>0</v>
      </c>
      <c r="N54" s="232">
        <f>round(SUM(L54*MConfig!$H$13)+(M54*MConfig!$H$14),0)</f>
        <v>0</v>
      </c>
      <c r="O54" s="232" t="str">
        <f>IF(Midterm!T54="",, (round(sum((Midterm!T54/Midterm!$T$19)*50)+50,0)))</f>
        <v/>
      </c>
      <c r="P54" s="230" t="str">
        <f>IF(O54="",,round(SUM((N54*MConfig!$I$12)+(O54*MConfig!$I$11)),0))</f>
        <v/>
      </c>
      <c r="Q54" s="233" t="str">
        <f>IFNA(IF(Midterm!U54="DRP","DRP",vlookup(P54,MConfig!$B$25:$C$33,2)),"")</f>
        <v/>
      </c>
      <c r="R54" s="234">
        <f t="shared" si="3"/>
        <v>0</v>
      </c>
      <c r="S54" s="234">
        <f>round(iferror((AVERAGE(PreFinal!H54:K54)*MConfig!$J$15),)+iferror((average(PreFinal!L54:O54)*MConfig!$J$16),)+iferror((average(PreFinal!P54:S54)*MConfig!$J$17),)+((PreFinal!T54)*MConfig!$J$18),0)</f>
        <v>0</v>
      </c>
      <c r="T54" s="234">
        <f>ROUND(SUM(R54*MConfig!$K$13)+(S54*MConfig!$K$14),0)</f>
        <v>0</v>
      </c>
      <c r="U54" s="229" t="str">
        <f>IF(PreFinal!U54="",,(round(sum((PreFinal!U54/PreFinal!$U$19)*50)+50,0)))</f>
        <v/>
      </c>
      <c r="V54" s="230" t="str">
        <f t="shared" si="4"/>
        <v/>
      </c>
      <c r="W54" s="233" t="str">
        <f>IFNA(IF(PreFinal!V54="DRP","DRP",vlookup(V54,MConfig!$B$25:$C$33,2)),"")</f>
        <v/>
      </c>
      <c r="X54" s="216" t="str">
        <f>IF(Prelim!C54="",,(round((sum((Prelim!C54/Prelim!$C$19)*50)+50),0)))</f>
        <v/>
      </c>
      <c r="Y54" s="216" t="str">
        <f>IF(Prelim!D54="",,(round((sum((Prelim!D54/Prelim!$D$19)*50)+50),0)))</f>
        <v/>
      </c>
      <c r="Z54" s="216" t="str">
        <f>IF(Prelim!E54="",,round((sum((Prelim!E54/Prelim!$E$19)*50)+50),0))</f>
        <v/>
      </c>
      <c r="AA54" s="216" t="str">
        <f>IF(Prelim!F54="",,(round((sum((Prelim!F54/Prelim!$F$19)*50)+50),0)))</f>
        <v/>
      </c>
      <c r="AB54" s="216" t="str">
        <f>IF(Prelim!G54="",,(round((sum((Prelim!G54/Prelim!$G$19)*50)+50),0)))</f>
        <v/>
      </c>
      <c r="AC54" s="216" t="str">
        <f>IF(Midterm!C54="",,(round((sum((Midterm!C54/Midterm!$C$19)*50)+50),0)))</f>
        <v/>
      </c>
      <c r="AD54" s="216" t="str">
        <f>IF(Midterm!D54="",,(round((sum((Midterm!D54/Midterm!$D$19)*50)+50),0)))</f>
        <v/>
      </c>
      <c r="AE54" s="216" t="str">
        <f>IF(Midterm!E54="",,(round((sum((Midterm!E54/Midterm!$E$19)*50)+50),0)))</f>
        <v/>
      </c>
      <c r="AF54" s="216" t="str">
        <f>IF(Midterm!F54="",,(round((sum((Midterm!F54/Midterm!$F$19)*50)+50),0)))</f>
        <v/>
      </c>
      <c r="AG54" s="216" t="str">
        <f>IF(Midterm!G54="",,(round((sum((Midterm!G54/Midterm!$G$19)*50)+50),0)))</f>
        <v/>
      </c>
      <c r="AH54" s="216" t="str">
        <f>IF(PreFinal!C54="",,(round((sum((PreFinal!C54/PreFinal!$C$19)*50)+50),0)))</f>
        <v/>
      </c>
      <c r="AI54" s="216" t="str">
        <f>IF(PreFinal!D54="",,(round((sum((PreFinal!D54/PreFinal!$D$19)*50)+50),0)))</f>
        <v/>
      </c>
      <c r="AJ54" s="216" t="str">
        <f>IF(PreFinal!E54="",,(round((sum((PreFinal!E54/PreFinal!$E$19)*50)+50),0)))</f>
        <v/>
      </c>
      <c r="AK54" s="216" t="str">
        <f>IF(PreFinal!F54="",,(round((sum((PreFinal!F54/PreFinal!$F$19)*50)+50),0)))</f>
        <v/>
      </c>
      <c r="AL54" s="216" t="str">
        <f>IF(PreFinal!G54="",,(round((sum((PreFinal!G54/PreFinal!$G$19)*50)+50),0)))</f>
        <v/>
      </c>
      <c r="AM54" s="217"/>
      <c r="AN54" s="4"/>
    </row>
    <row r="55" ht="26.25" customHeight="1">
      <c r="A55" s="225"/>
      <c r="B55" s="225"/>
      <c r="C55" s="226">
        <v>36.0</v>
      </c>
      <c r="D55" s="227" t="str">
        <f>Prelim!$B55</f>
        <v/>
      </c>
      <c r="E55" s="228"/>
      <c r="F55" s="229">
        <f t="shared" si="1"/>
        <v>0</v>
      </c>
      <c r="G55" s="229">
        <f>round(iferror((AVERAGE(Prelim!H55:K55)*MConfig!$D$15),)+iferror((average(Prelim!L55:O55)*MConfig!$D$16),)+iferror((average(Prelim!P55:S55)*MConfig!$D$17),),0)</f>
        <v>0</v>
      </c>
      <c r="H55" s="229">
        <f>round(sum(F55*MConfig!$E$13)+(G55*MConfig!$E$14),0)</f>
        <v>0</v>
      </c>
      <c r="I55" s="229" t="str">
        <f>  if(Prelim!T55="",,  (round(sum((Prelim!T55/Prelim!$T$19)*50)+50,0)))</f>
        <v/>
      </c>
      <c r="J55" s="230" t="str">
        <f>IF(I55="",,round(SUM((H55*MConfig!$F$12)+(I55*MConfig!$F$11)),0))</f>
        <v/>
      </c>
      <c r="K55" s="231" t="str">
        <f>IFNA(IF(Prelim!U55="DRP","DRP",vlookup(J55,MConfig!$B$25:$C$33,2)),"")</f>
        <v/>
      </c>
      <c r="L55" s="229">
        <f t="shared" si="2"/>
        <v>0</v>
      </c>
      <c r="M55" s="229">
        <f>round(iferror((AVERAGE(Midterm!H55:K55)*MConfig!$G$15),)+iferror((average(Midterm!L55:O55)*MConfig!$G$16),)+iferror((average(Midterm!P55:S55)*MConfig!$G$17),),0)</f>
        <v>0</v>
      </c>
      <c r="N55" s="232">
        <f>round(SUM(L55*MConfig!$H$13)+(M55*MConfig!$H$14),0)</f>
        <v>0</v>
      </c>
      <c r="O55" s="232" t="str">
        <f>IF(Midterm!T55="",, (round(sum((Midterm!T55/Midterm!$T$19)*50)+50,0)))</f>
        <v/>
      </c>
      <c r="P55" s="230" t="str">
        <f>IF(O55="",,round(SUM((N55*MConfig!$I$12)+(O55*MConfig!$I$11)),0))</f>
        <v/>
      </c>
      <c r="Q55" s="233" t="str">
        <f>IFNA(IF(Midterm!U55="DRP","DRP",vlookup(P55,MConfig!$B$25:$C$33,2)),"")</f>
        <v/>
      </c>
      <c r="R55" s="234">
        <f t="shared" si="3"/>
        <v>0</v>
      </c>
      <c r="S55" s="234">
        <f>round(iferror((AVERAGE(PreFinal!H55:K55)*MConfig!$J$15),)+iferror((average(PreFinal!L55:O55)*MConfig!$J$16),)+iferror((average(PreFinal!P55:S55)*MConfig!$J$17),)+((PreFinal!T55)*MConfig!$J$18),0)</f>
        <v>0</v>
      </c>
      <c r="T55" s="234">
        <f>ROUND(SUM(R55*MConfig!$K$13)+(S55*MConfig!$K$14),0)</f>
        <v>0</v>
      </c>
      <c r="U55" s="229" t="str">
        <f>IF(PreFinal!U55="",,(round(sum((PreFinal!U55/PreFinal!$U$19)*50)+50,0)))</f>
        <v/>
      </c>
      <c r="V55" s="230" t="str">
        <f t="shared" si="4"/>
        <v/>
      </c>
      <c r="W55" s="233" t="str">
        <f>IFNA(IF(PreFinal!V55="DRP","DRP",vlookup(V55,MConfig!$B$25:$C$33,2)),"")</f>
        <v/>
      </c>
      <c r="X55" s="216" t="str">
        <f>IF(Prelim!C55="",,(round((sum((Prelim!C55/Prelim!$C$19)*50)+50),0)))</f>
        <v/>
      </c>
      <c r="Y55" s="216" t="str">
        <f>IF(Prelim!D55="",,(round((sum((Prelim!D55/Prelim!$D$19)*50)+50),0)))</f>
        <v/>
      </c>
      <c r="Z55" s="216" t="str">
        <f>IF(Prelim!E55="",,round((sum((Prelim!E55/Prelim!$E$19)*50)+50),0))</f>
        <v/>
      </c>
      <c r="AA55" s="216" t="str">
        <f>IF(Prelim!F55="",,(round((sum((Prelim!F55/Prelim!$F$19)*50)+50),0)))</f>
        <v/>
      </c>
      <c r="AB55" s="216" t="str">
        <f>IF(Prelim!G55="",,(round((sum((Prelim!G55/Prelim!$G$19)*50)+50),0)))</f>
        <v/>
      </c>
      <c r="AC55" s="216" t="str">
        <f>IF(Midterm!C55="",,(round((sum((Midterm!C55/Midterm!$C$19)*50)+50),0)))</f>
        <v/>
      </c>
      <c r="AD55" s="216" t="str">
        <f>IF(Midterm!D55="",,(round((sum((Midterm!D55/Midterm!$D$19)*50)+50),0)))</f>
        <v/>
      </c>
      <c r="AE55" s="216" t="str">
        <f>IF(Midterm!E55="",,(round((sum((Midterm!E55/Midterm!$E$19)*50)+50),0)))</f>
        <v/>
      </c>
      <c r="AF55" s="216" t="str">
        <f>IF(Midterm!F55="",,(round((sum((Midterm!F55/Midterm!$F$19)*50)+50),0)))</f>
        <v/>
      </c>
      <c r="AG55" s="216" t="str">
        <f>IF(Midterm!G55="",,(round((sum((Midterm!G55/Midterm!$G$19)*50)+50),0)))</f>
        <v/>
      </c>
      <c r="AH55" s="216" t="str">
        <f>IF(PreFinal!C55="",,(round((sum((PreFinal!C55/PreFinal!$C$19)*50)+50),0)))</f>
        <v/>
      </c>
      <c r="AI55" s="216" t="str">
        <f>IF(PreFinal!D55="",,(round((sum((PreFinal!D55/PreFinal!$D$19)*50)+50),0)))</f>
        <v/>
      </c>
      <c r="AJ55" s="216" t="str">
        <f>IF(PreFinal!E55="",,(round((sum((PreFinal!E55/PreFinal!$E$19)*50)+50),0)))</f>
        <v/>
      </c>
      <c r="AK55" s="216" t="str">
        <f>IF(PreFinal!F55="",,(round((sum((PreFinal!F55/PreFinal!$F$19)*50)+50),0)))</f>
        <v/>
      </c>
      <c r="AL55" s="216" t="str">
        <f>IF(PreFinal!G55="",,(round((sum((PreFinal!G55/PreFinal!$G$19)*50)+50),0)))</f>
        <v/>
      </c>
      <c r="AM55" s="217"/>
      <c r="AN55" s="4"/>
    </row>
    <row r="56" ht="26.25" customHeight="1">
      <c r="A56" s="225"/>
      <c r="B56" s="225"/>
      <c r="C56" s="226">
        <v>37.0</v>
      </c>
      <c r="D56" s="227" t="str">
        <f>Prelim!$B56</f>
        <v/>
      </c>
      <c r="E56" s="228"/>
      <c r="F56" s="229">
        <f t="shared" si="1"/>
        <v>0</v>
      </c>
      <c r="G56" s="229">
        <f>round(iferror((AVERAGE(Prelim!H56:K56)*MConfig!$D$15),)+iferror((average(Prelim!L56:O56)*MConfig!$D$16),)+iferror((average(Prelim!P56:S56)*MConfig!$D$17),),0)</f>
        <v>0</v>
      </c>
      <c r="H56" s="229">
        <f>round(sum(F56*MConfig!$E$13)+(G56*MConfig!$E$14),0)</f>
        <v>0</v>
      </c>
      <c r="I56" s="229" t="str">
        <f>  if(Prelim!T56="",,  (round(sum((Prelim!T56/Prelim!$T$19)*50)+50,0)))</f>
        <v/>
      </c>
      <c r="J56" s="230" t="str">
        <f>IF(I56="",,round(SUM((H56*MConfig!$F$12)+(I56*MConfig!$F$11)),0))</f>
        <v/>
      </c>
      <c r="K56" s="231" t="str">
        <f>IFNA(IF(Prelim!U56="DRP","DRP",vlookup(J56,MConfig!$B$25:$C$33,2)),"")</f>
        <v/>
      </c>
      <c r="L56" s="229">
        <f t="shared" si="2"/>
        <v>0</v>
      </c>
      <c r="M56" s="229">
        <f>round(iferror((AVERAGE(Midterm!H56:K56)*MConfig!$G$15),)+iferror((average(Midterm!L56:O56)*MConfig!$G$16),)+iferror((average(Midterm!P56:S56)*MConfig!$G$17),),0)</f>
        <v>0</v>
      </c>
      <c r="N56" s="232">
        <f>round(SUM(L56*MConfig!$H$13)+(M56*MConfig!$H$14),0)</f>
        <v>0</v>
      </c>
      <c r="O56" s="232" t="str">
        <f>IF(Midterm!T56="",, (round(sum((Midterm!T56/Midterm!$T$19)*50)+50,0)))</f>
        <v/>
      </c>
      <c r="P56" s="230" t="str">
        <f>IF(O56="",,round(SUM((N56*MConfig!$I$12)+(O56*MConfig!$I$11)),0))</f>
        <v/>
      </c>
      <c r="Q56" s="233" t="str">
        <f>IFNA(IF(Midterm!U56="DRP","DRP",vlookup(P56,MConfig!$B$25:$C$33,2)),"")</f>
        <v/>
      </c>
      <c r="R56" s="234">
        <f t="shared" si="3"/>
        <v>0</v>
      </c>
      <c r="S56" s="234">
        <f>round(iferror((AVERAGE(PreFinal!H56:K56)*MConfig!$J$15),)+iferror((average(PreFinal!L56:O56)*MConfig!$J$16),)+iferror((average(PreFinal!P56:S56)*MConfig!$J$17),)+((PreFinal!T56)*MConfig!$J$18),0)</f>
        <v>0</v>
      </c>
      <c r="T56" s="234">
        <f>ROUND(SUM(R56*MConfig!$K$13)+(S56*MConfig!$K$14),0)</f>
        <v>0</v>
      </c>
      <c r="U56" s="229" t="str">
        <f>IF(PreFinal!U56="",,(round(sum((PreFinal!U56/PreFinal!$U$19)*50)+50,0)))</f>
        <v/>
      </c>
      <c r="V56" s="230" t="str">
        <f t="shared" si="4"/>
        <v/>
      </c>
      <c r="W56" s="233" t="str">
        <f>IFNA(IF(PreFinal!V56="DRP","DRP",vlookup(V56,MConfig!$B$25:$C$33,2)),"")</f>
        <v/>
      </c>
      <c r="X56" s="216" t="str">
        <f>IF(Prelim!C56="",,(round((sum((Prelim!C56/Prelim!$C$19)*50)+50),0)))</f>
        <v/>
      </c>
      <c r="Y56" s="216" t="str">
        <f>IF(Prelim!D56="",,(round((sum((Prelim!D56/Prelim!$D$19)*50)+50),0)))</f>
        <v/>
      </c>
      <c r="Z56" s="216" t="str">
        <f>IF(Prelim!E56="",,round((sum((Prelim!E56/Prelim!$E$19)*50)+50),0))</f>
        <v/>
      </c>
      <c r="AA56" s="216" t="str">
        <f>IF(Prelim!F56="",,(round((sum((Prelim!F56/Prelim!$F$19)*50)+50),0)))</f>
        <v/>
      </c>
      <c r="AB56" s="216" t="str">
        <f>IF(Prelim!G56="",,(round((sum((Prelim!G56/Prelim!$G$19)*50)+50),0)))</f>
        <v/>
      </c>
      <c r="AC56" s="216" t="str">
        <f>IF(Midterm!C56="",,(round((sum((Midterm!C56/Midterm!$C$19)*50)+50),0)))</f>
        <v/>
      </c>
      <c r="AD56" s="216" t="str">
        <f>IF(Midterm!D56="",,(round((sum((Midterm!D56/Midterm!$D$19)*50)+50),0)))</f>
        <v/>
      </c>
      <c r="AE56" s="216" t="str">
        <f>IF(Midterm!E56="",,(round((sum((Midterm!E56/Midterm!$E$19)*50)+50),0)))</f>
        <v/>
      </c>
      <c r="AF56" s="216" t="str">
        <f>IF(Midterm!F56="",,(round((sum((Midterm!F56/Midterm!$F$19)*50)+50),0)))</f>
        <v/>
      </c>
      <c r="AG56" s="216" t="str">
        <f>IF(Midterm!G56="",,(round((sum((Midterm!G56/Midterm!$G$19)*50)+50),0)))</f>
        <v/>
      </c>
      <c r="AH56" s="216" t="str">
        <f>IF(PreFinal!C56="",,(round((sum((PreFinal!C56/PreFinal!$C$19)*50)+50),0)))</f>
        <v/>
      </c>
      <c r="AI56" s="216" t="str">
        <f>IF(PreFinal!D56="",,(round((sum((PreFinal!D56/PreFinal!$D$19)*50)+50),0)))</f>
        <v/>
      </c>
      <c r="AJ56" s="216" t="str">
        <f>IF(PreFinal!E56="",,(round((sum((PreFinal!E56/PreFinal!$E$19)*50)+50),0)))</f>
        <v/>
      </c>
      <c r="AK56" s="216" t="str">
        <f>IF(PreFinal!F56="",,(round((sum((PreFinal!F56/PreFinal!$F$19)*50)+50),0)))</f>
        <v/>
      </c>
      <c r="AL56" s="216" t="str">
        <f>IF(PreFinal!G56="",,(round((sum((PreFinal!G56/PreFinal!$G$19)*50)+50),0)))</f>
        <v/>
      </c>
      <c r="AM56" s="217"/>
      <c r="AN56" s="4"/>
    </row>
    <row r="57" ht="26.25" customHeight="1">
      <c r="A57" s="225"/>
      <c r="B57" s="225"/>
      <c r="C57" s="226">
        <v>38.0</v>
      </c>
      <c r="D57" s="227" t="str">
        <f>Prelim!$B57</f>
        <v/>
      </c>
      <c r="E57" s="228"/>
      <c r="F57" s="229">
        <f t="shared" si="1"/>
        <v>0</v>
      </c>
      <c r="G57" s="229">
        <f>round(iferror((AVERAGE(Prelim!H57:K57)*MConfig!$D$15),)+iferror((average(Prelim!L57:O57)*MConfig!$D$16),)+iferror((average(Prelim!P57:S57)*MConfig!$D$17),),0)</f>
        <v>0</v>
      </c>
      <c r="H57" s="229">
        <f>round(sum(F57*MConfig!$E$13)+(G57*MConfig!$E$14),0)</f>
        <v>0</v>
      </c>
      <c r="I57" s="229" t="str">
        <f>  if(Prelim!T57="",,  (round(sum((Prelim!T57/Prelim!$T$19)*50)+50,0)))</f>
        <v/>
      </c>
      <c r="J57" s="230" t="str">
        <f>IF(I57="",,round(SUM((H57*MConfig!$F$12)+(I57*MConfig!$F$11)),0))</f>
        <v/>
      </c>
      <c r="K57" s="231" t="str">
        <f>IFNA(IF(Prelim!U57="DRP","DRP",vlookup(J57,MConfig!$B$25:$C$33,2)),"")</f>
        <v/>
      </c>
      <c r="L57" s="229">
        <f t="shared" si="2"/>
        <v>0</v>
      </c>
      <c r="M57" s="229">
        <f>round(iferror((AVERAGE(Midterm!H57:K57)*MConfig!$G$15),)+iferror((average(Midterm!L57:O57)*MConfig!$G$16),)+iferror((average(Midterm!P57:S57)*MConfig!$G$17),),0)</f>
        <v>0</v>
      </c>
      <c r="N57" s="232">
        <f>round(SUM(L57*MConfig!$H$13)+(M57*MConfig!$H$14),0)</f>
        <v>0</v>
      </c>
      <c r="O57" s="232" t="str">
        <f>IF(Midterm!T57="",, (round(sum((Midterm!T57/Midterm!$T$19)*50)+50,0)))</f>
        <v/>
      </c>
      <c r="P57" s="230" t="str">
        <f>IF(O57="",,round(SUM((N57*MConfig!$I$12)+(O57*MConfig!$I$11)),0))</f>
        <v/>
      </c>
      <c r="Q57" s="233" t="str">
        <f>IFNA(IF(Midterm!U57="DRP","DRP",vlookup(P57,MConfig!$B$25:$C$33,2)),"")</f>
        <v/>
      </c>
      <c r="R57" s="234">
        <f t="shared" si="3"/>
        <v>0</v>
      </c>
      <c r="S57" s="234">
        <f>round(iferror((AVERAGE(PreFinal!H57:K57)*MConfig!$J$15),)+iferror((average(PreFinal!L57:O57)*MConfig!$J$16),)+iferror((average(PreFinal!P57:S57)*MConfig!$J$17),)+((PreFinal!T57)*MConfig!$J$18),0)</f>
        <v>0</v>
      </c>
      <c r="T57" s="234">
        <f>ROUND(SUM(R57*MConfig!$K$13)+(S57*MConfig!$K$14),0)</f>
        <v>0</v>
      </c>
      <c r="U57" s="229" t="str">
        <f>IF(PreFinal!U57="",,(round(sum((PreFinal!U57/PreFinal!$U$19)*50)+50,0)))</f>
        <v/>
      </c>
      <c r="V57" s="230" t="str">
        <f t="shared" si="4"/>
        <v/>
      </c>
      <c r="W57" s="233" t="str">
        <f>IFNA(IF(PreFinal!V57="DRP","DRP",vlookup(V57,MConfig!$B$25:$C$33,2)),"")</f>
        <v/>
      </c>
      <c r="X57" s="216" t="str">
        <f>IF(Prelim!C57="",,(round((sum((Prelim!C57/Prelim!$C$19)*50)+50),0)))</f>
        <v/>
      </c>
      <c r="Y57" s="216" t="str">
        <f>IF(Prelim!D57="",,(round((sum((Prelim!D57/Prelim!$D$19)*50)+50),0)))</f>
        <v/>
      </c>
      <c r="Z57" s="216" t="str">
        <f>IF(Prelim!E57="",,round((sum((Prelim!E57/Prelim!$E$19)*50)+50),0))</f>
        <v/>
      </c>
      <c r="AA57" s="216" t="str">
        <f>IF(Prelim!F57="",,(round((sum((Prelim!F57/Prelim!$F$19)*50)+50),0)))</f>
        <v/>
      </c>
      <c r="AB57" s="216" t="str">
        <f>IF(Prelim!G57="",,(round((sum((Prelim!G57/Prelim!$G$19)*50)+50),0)))</f>
        <v/>
      </c>
      <c r="AC57" s="216" t="str">
        <f>IF(Midterm!C57="",,(round((sum((Midterm!C57/Midterm!$C$19)*50)+50),0)))</f>
        <v/>
      </c>
      <c r="AD57" s="216" t="str">
        <f>IF(Midterm!D57="",,(round((sum((Midterm!D57/Midterm!$D$19)*50)+50),0)))</f>
        <v/>
      </c>
      <c r="AE57" s="216" t="str">
        <f>IF(Midterm!E57="",,(round((sum((Midterm!E57/Midterm!$E$19)*50)+50),0)))</f>
        <v/>
      </c>
      <c r="AF57" s="216" t="str">
        <f>IF(Midterm!F57="",,(round((sum((Midterm!F57/Midterm!$F$19)*50)+50),0)))</f>
        <v/>
      </c>
      <c r="AG57" s="216" t="str">
        <f>IF(Midterm!G57="",,(round((sum((Midterm!G57/Midterm!$G$19)*50)+50),0)))</f>
        <v/>
      </c>
      <c r="AH57" s="216" t="str">
        <f>IF(PreFinal!C57="",,(round((sum((PreFinal!C57/PreFinal!$C$19)*50)+50),0)))</f>
        <v/>
      </c>
      <c r="AI57" s="216" t="str">
        <f>IF(PreFinal!D57="",,(round((sum((PreFinal!D57/PreFinal!$D$19)*50)+50),0)))</f>
        <v/>
      </c>
      <c r="AJ57" s="216" t="str">
        <f>IF(PreFinal!E57="",,(round((sum((PreFinal!E57/PreFinal!$E$19)*50)+50),0)))</f>
        <v/>
      </c>
      <c r="AK57" s="216" t="str">
        <f>IF(PreFinal!F57="",,(round((sum((PreFinal!F57/PreFinal!$F$19)*50)+50),0)))</f>
        <v/>
      </c>
      <c r="AL57" s="216" t="str">
        <f>IF(PreFinal!G57="",,(round((sum((PreFinal!G57/PreFinal!$G$19)*50)+50),0)))</f>
        <v/>
      </c>
      <c r="AM57" s="217"/>
      <c r="AN57" s="4"/>
    </row>
    <row r="58" ht="26.25" customHeight="1">
      <c r="A58" s="225"/>
      <c r="B58" s="225"/>
      <c r="C58" s="226">
        <v>39.0</v>
      </c>
      <c r="D58" s="227" t="str">
        <f>Prelim!$B58</f>
        <v/>
      </c>
      <c r="E58" s="228"/>
      <c r="F58" s="229">
        <f t="shared" si="1"/>
        <v>0</v>
      </c>
      <c r="G58" s="229">
        <f>round(iferror((AVERAGE(Prelim!H58:K58)*MConfig!$D$15),)+iferror((average(Prelim!L58:O58)*MConfig!$D$16),)+iferror((average(Prelim!P58:S58)*MConfig!$D$17),),0)</f>
        <v>0</v>
      </c>
      <c r="H58" s="229">
        <f>round(sum(F58*MConfig!$E$13)+(G58*MConfig!$E$14),0)</f>
        <v>0</v>
      </c>
      <c r="I58" s="229" t="str">
        <f>  if(Prelim!T58="",,  (round(sum((Prelim!T58/Prelim!$T$19)*50)+50,0)))</f>
        <v/>
      </c>
      <c r="J58" s="230" t="str">
        <f>IF(I58="",,round(SUM((H58*MConfig!$F$12)+(I58*MConfig!$F$11)),0))</f>
        <v/>
      </c>
      <c r="K58" s="231" t="str">
        <f>IFNA(IF(Prelim!U58="DRP","DRP",vlookup(J58,MConfig!$B$25:$C$33,2)),"")</f>
        <v/>
      </c>
      <c r="L58" s="229">
        <f t="shared" si="2"/>
        <v>0</v>
      </c>
      <c r="M58" s="229">
        <f>round(iferror((AVERAGE(Midterm!H58:K58)*MConfig!$G$15),)+iferror((average(Midterm!L58:O58)*MConfig!$G$16),)+iferror((average(Midterm!P58:S58)*MConfig!$G$17),),0)</f>
        <v>0</v>
      </c>
      <c r="N58" s="232">
        <f>round(SUM(L58*MConfig!$H$13)+(M58*MConfig!$H$14),0)</f>
        <v>0</v>
      </c>
      <c r="O58" s="232" t="str">
        <f>IF(Midterm!T58="",, (round(sum((Midterm!T58/Midterm!$T$19)*50)+50,0)))</f>
        <v/>
      </c>
      <c r="P58" s="230" t="str">
        <f>IF(O58="",,round(SUM((N58*MConfig!$I$12)+(O58*MConfig!$I$11)),0))</f>
        <v/>
      </c>
      <c r="Q58" s="233" t="str">
        <f>IFNA(IF(Midterm!U58="DRP","DRP",vlookup(P58,MConfig!$B$25:$C$33,2)),"")</f>
        <v/>
      </c>
      <c r="R58" s="234">
        <f t="shared" si="3"/>
        <v>0</v>
      </c>
      <c r="S58" s="234">
        <f>round(iferror((AVERAGE(PreFinal!H58:K58)*MConfig!$J$15),)+iferror((average(PreFinal!L58:O58)*MConfig!$J$16),)+iferror((average(PreFinal!P58:S58)*MConfig!$J$17),)+((PreFinal!T58)*MConfig!$J$18),0)</f>
        <v>0</v>
      </c>
      <c r="T58" s="234">
        <f>ROUND(SUM(R58*MConfig!$K$13)+(S58*MConfig!$K$14),0)</f>
        <v>0</v>
      </c>
      <c r="U58" s="229" t="str">
        <f>IF(PreFinal!U58="",,(round(sum((PreFinal!U58/PreFinal!$U$19)*50)+50,0)))</f>
        <v/>
      </c>
      <c r="V58" s="230" t="str">
        <f t="shared" si="4"/>
        <v/>
      </c>
      <c r="W58" s="233" t="str">
        <f>IFNA(IF(PreFinal!V58="DRP","DRP",vlookup(V58,MConfig!$B$25:$C$33,2)),"")</f>
        <v/>
      </c>
      <c r="X58" s="216" t="str">
        <f>IF(Prelim!C58="",,(round((sum((Prelim!C58/Prelim!$C$19)*50)+50),0)))</f>
        <v/>
      </c>
      <c r="Y58" s="216" t="str">
        <f>IF(Prelim!D58="",,(round((sum((Prelim!D58/Prelim!$D$19)*50)+50),0)))</f>
        <v/>
      </c>
      <c r="Z58" s="216" t="str">
        <f>IF(Prelim!E58="",,round((sum((Prelim!E58/Prelim!$E$19)*50)+50),0))</f>
        <v/>
      </c>
      <c r="AA58" s="216" t="str">
        <f>IF(Prelim!F58="",,(round((sum((Prelim!F58/Prelim!$F$19)*50)+50),0)))</f>
        <v/>
      </c>
      <c r="AB58" s="216" t="str">
        <f>IF(Prelim!G58="",,(round((sum((Prelim!G58/Prelim!$G$19)*50)+50),0)))</f>
        <v/>
      </c>
      <c r="AC58" s="216" t="str">
        <f>IF(Midterm!C58="",,(round((sum((Midterm!C58/Midterm!$C$19)*50)+50),0)))</f>
        <v/>
      </c>
      <c r="AD58" s="216" t="str">
        <f>IF(Midterm!D58="",,(round((sum((Midterm!D58/Midterm!$D$19)*50)+50),0)))</f>
        <v/>
      </c>
      <c r="AE58" s="216" t="str">
        <f>IF(Midterm!E58="",,(round((sum((Midterm!E58/Midterm!$E$19)*50)+50),0)))</f>
        <v/>
      </c>
      <c r="AF58" s="216" t="str">
        <f>IF(Midterm!F58="",,(round((sum((Midterm!F58/Midterm!$F$19)*50)+50),0)))</f>
        <v/>
      </c>
      <c r="AG58" s="216" t="str">
        <f>IF(Midterm!G58="",,(round((sum((Midterm!G58/Midterm!$G$19)*50)+50),0)))</f>
        <v/>
      </c>
      <c r="AH58" s="216" t="str">
        <f>IF(PreFinal!C58="",,(round((sum((PreFinal!C58/PreFinal!$C$19)*50)+50),0)))</f>
        <v/>
      </c>
      <c r="AI58" s="216" t="str">
        <f>IF(PreFinal!D58="",,(round((sum((PreFinal!D58/PreFinal!$D$19)*50)+50),0)))</f>
        <v/>
      </c>
      <c r="AJ58" s="216" t="str">
        <f>IF(PreFinal!E58="",,(round((sum((PreFinal!E58/PreFinal!$E$19)*50)+50),0)))</f>
        <v/>
      </c>
      <c r="AK58" s="216" t="str">
        <f>IF(PreFinal!F58="",,(round((sum((PreFinal!F58/PreFinal!$F$19)*50)+50),0)))</f>
        <v/>
      </c>
      <c r="AL58" s="216" t="str">
        <f>IF(PreFinal!G58="",,(round((sum((PreFinal!G58/PreFinal!$G$19)*50)+50),0)))</f>
        <v/>
      </c>
      <c r="AM58" s="217"/>
      <c r="AN58" s="4"/>
    </row>
    <row r="59" ht="26.25" customHeight="1">
      <c r="A59" s="225"/>
      <c r="B59" s="225"/>
      <c r="C59" s="226">
        <v>40.0</v>
      </c>
      <c r="D59" s="227" t="str">
        <f>Prelim!$B59</f>
        <v/>
      </c>
      <c r="E59" s="228"/>
      <c r="F59" s="229">
        <f t="shared" si="1"/>
        <v>0</v>
      </c>
      <c r="G59" s="229">
        <f>round(iferror((AVERAGE(Prelim!H59:K59)*MConfig!$D$15),)+iferror((average(Prelim!L59:O59)*MConfig!$D$16),)+iferror((average(Prelim!P59:S59)*MConfig!$D$17),),0)</f>
        <v>0</v>
      </c>
      <c r="H59" s="229">
        <f>round(sum(F59*MConfig!$E$13)+(G59*MConfig!$E$14),0)</f>
        <v>0</v>
      </c>
      <c r="I59" s="229" t="str">
        <f>  if(Prelim!T59="",,  (round(sum((Prelim!T59/Prelim!$T$19)*50)+50,0)))</f>
        <v/>
      </c>
      <c r="J59" s="230" t="str">
        <f>IF(I59="",,round(SUM((H59*MConfig!$F$12)+(I59*MConfig!$F$11)),0))</f>
        <v/>
      </c>
      <c r="K59" s="231" t="str">
        <f>IFNA(IF(Prelim!U59="DRP","DRP",vlookup(J59,MConfig!$B$25:$C$33,2)),"")</f>
        <v/>
      </c>
      <c r="L59" s="229">
        <f t="shared" si="2"/>
        <v>0</v>
      </c>
      <c r="M59" s="229">
        <f>round(iferror((AVERAGE(Midterm!H59:K59)*MConfig!$G$15),)+iferror((average(Midterm!L59:O59)*MConfig!$G$16),)+iferror((average(Midterm!P59:S59)*MConfig!$G$17),),0)</f>
        <v>0</v>
      </c>
      <c r="N59" s="232">
        <f>round(SUM(L59*MConfig!$H$13)+(M59*MConfig!$H$14),0)</f>
        <v>0</v>
      </c>
      <c r="O59" s="232" t="str">
        <f>IF(Midterm!T59="",, (round(sum((Midterm!T59/Midterm!$T$19)*50)+50,0)))</f>
        <v/>
      </c>
      <c r="P59" s="230" t="str">
        <f>IF(O59="",,round(SUM((N59*MConfig!$I$12)+(O59*MConfig!$I$11)),0))</f>
        <v/>
      </c>
      <c r="Q59" s="233" t="str">
        <f>IFNA(IF(Midterm!U59="DRP","DRP",vlookup(P59,MConfig!$B$25:$C$33,2)),"")</f>
        <v/>
      </c>
      <c r="R59" s="234">
        <f t="shared" si="3"/>
        <v>0</v>
      </c>
      <c r="S59" s="234">
        <f>round(iferror((AVERAGE(PreFinal!H59:K59)*MConfig!$J$15),)+iferror((average(PreFinal!L59:O59)*MConfig!$J$16),)+iferror((average(PreFinal!P59:S59)*MConfig!$J$17),)+((PreFinal!T59)*MConfig!$J$18),0)</f>
        <v>0</v>
      </c>
      <c r="T59" s="234">
        <f>ROUND(SUM(R59*MConfig!$K$13)+(S59*MConfig!$K$14),0)</f>
        <v>0</v>
      </c>
      <c r="U59" s="229" t="str">
        <f>IF(PreFinal!U59="",,(round(sum((PreFinal!U59/PreFinal!$U$19)*50)+50,0)))</f>
        <v/>
      </c>
      <c r="V59" s="230" t="str">
        <f t="shared" si="4"/>
        <v/>
      </c>
      <c r="W59" s="233" t="str">
        <f>IFNA(IF(PreFinal!V59="DRP","DRP",vlookup(V59,MConfig!$B$25:$C$33,2)),"")</f>
        <v/>
      </c>
      <c r="X59" s="216" t="str">
        <f>IF(Prelim!C59="",,(round((sum((Prelim!C59/Prelim!$C$19)*50)+50),0)))</f>
        <v/>
      </c>
      <c r="Y59" s="216" t="str">
        <f>IF(Prelim!D59="",,(round((sum((Prelim!D59/Prelim!$D$19)*50)+50),0)))</f>
        <v/>
      </c>
      <c r="Z59" s="216" t="str">
        <f>IF(Prelim!E59="",,round((sum((Prelim!E59/Prelim!$E$19)*50)+50),0))</f>
        <v/>
      </c>
      <c r="AA59" s="216" t="str">
        <f>IF(Prelim!F59="",,(round((sum((Prelim!F59/Prelim!$F$19)*50)+50),0)))</f>
        <v/>
      </c>
      <c r="AB59" s="216" t="str">
        <f>IF(Prelim!G59="",,(round((sum((Prelim!G59/Prelim!$G$19)*50)+50),0)))</f>
        <v/>
      </c>
      <c r="AC59" s="216" t="str">
        <f>IF(Midterm!C59="",,(round((sum((Midterm!C59/Midterm!$C$19)*50)+50),0)))</f>
        <v/>
      </c>
      <c r="AD59" s="216" t="str">
        <f>IF(Midterm!D59="",,(round((sum((Midterm!D59/Midterm!$D$19)*50)+50),0)))</f>
        <v/>
      </c>
      <c r="AE59" s="216" t="str">
        <f>IF(Midterm!E59="",,(round((sum((Midterm!E59/Midterm!$E$19)*50)+50),0)))</f>
        <v/>
      </c>
      <c r="AF59" s="216" t="str">
        <f>IF(Midterm!F59="",,(round((sum((Midterm!F59/Midterm!$F$19)*50)+50),0)))</f>
        <v/>
      </c>
      <c r="AG59" s="216" t="str">
        <f>IF(Midterm!G59="",,(round((sum((Midterm!G59/Midterm!$G$19)*50)+50),0)))</f>
        <v/>
      </c>
      <c r="AH59" s="216" t="str">
        <f>IF(PreFinal!C59="",,(round((sum((PreFinal!C59/PreFinal!$C$19)*50)+50),0)))</f>
        <v/>
      </c>
      <c r="AI59" s="216" t="str">
        <f>IF(PreFinal!D59="",,(round((sum((PreFinal!D59/PreFinal!$D$19)*50)+50),0)))</f>
        <v/>
      </c>
      <c r="AJ59" s="216" t="str">
        <f>IF(PreFinal!E59="",,(round((sum((PreFinal!E59/PreFinal!$E$19)*50)+50),0)))</f>
        <v/>
      </c>
      <c r="AK59" s="216" t="str">
        <f>IF(PreFinal!F59="",,(round((sum((PreFinal!F59/PreFinal!$F$19)*50)+50),0)))</f>
        <v/>
      </c>
      <c r="AL59" s="216" t="str">
        <f>IF(PreFinal!G59="",,(round((sum((PreFinal!G59/PreFinal!$G$19)*50)+50),0)))</f>
        <v/>
      </c>
      <c r="AM59" s="217"/>
      <c r="AN59" s="4"/>
    </row>
    <row r="60" ht="26.25" customHeight="1">
      <c r="A60" s="225"/>
      <c r="B60" s="225"/>
      <c r="C60" s="226">
        <v>41.0</v>
      </c>
      <c r="D60" s="227" t="str">
        <f>Prelim!$B60</f>
        <v/>
      </c>
      <c r="E60" s="228"/>
      <c r="F60" s="229">
        <f t="shared" si="1"/>
        <v>0</v>
      </c>
      <c r="G60" s="229">
        <f>round(iferror((AVERAGE(Prelim!H60:K60)*MConfig!$D$15),)+iferror((average(Prelim!L60:O60)*MConfig!$D$16),)+iferror((average(Prelim!P60:S60)*MConfig!$D$17),),0)</f>
        <v>0</v>
      </c>
      <c r="H60" s="229">
        <f>round(sum(F60*MConfig!$E$13)+(G60*MConfig!$E$14),0)</f>
        <v>0</v>
      </c>
      <c r="I60" s="229" t="str">
        <f>  if(Prelim!T60="",,  (round(sum((Prelim!T60/Prelim!$T$19)*50)+50,0)))</f>
        <v/>
      </c>
      <c r="J60" s="230" t="str">
        <f>IF(I60="",,round(SUM((H60*MConfig!$F$12)+(I60*MConfig!$F$11)),0))</f>
        <v/>
      </c>
      <c r="K60" s="231" t="str">
        <f>IFNA(IF(Prelim!U60="DRP","DRP",vlookup(J60,MConfig!$B$25:$C$33,2)),"")</f>
        <v/>
      </c>
      <c r="L60" s="229">
        <f t="shared" si="2"/>
        <v>0</v>
      </c>
      <c r="M60" s="229">
        <f>round(iferror((AVERAGE(Midterm!H60:K60)*MConfig!$G$15),)+iferror((average(Midterm!L60:O60)*MConfig!$G$16),)+iferror((average(Midterm!P60:S60)*MConfig!$G$17),),0)</f>
        <v>0</v>
      </c>
      <c r="N60" s="232">
        <f>round(SUM(L60*MConfig!$H$13)+(M60*MConfig!$H$14),0)</f>
        <v>0</v>
      </c>
      <c r="O60" s="232" t="str">
        <f>IF(Midterm!T60="",, (round(sum((Midterm!T60/Midterm!$T$19)*50)+50,0)))</f>
        <v/>
      </c>
      <c r="P60" s="230" t="str">
        <f>IF(O60="",,round(SUM((N60*MConfig!$I$12)+(O60*MConfig!$I$11)),0))</f>
        <v/>
      </c>
      <c r="Q60" s="233" t="str">
        <f>IFNA(IF(Midterm!U60="DRP","DRP",vlookup(P60,MConfig!$B$25:$C$33,2)),"")</f>
        <v/>
      </c>
      <c r="R60" s="234">
        <f t="shared" si="3"/>
        <v>0</v>
      </c>
      <c r="S60" s="234">
        <f>round(iferror((AVERAGE(PreFinal!H60:K60)*MConfig!$J$15),)+iferror((average(PreFinal!L60:O60)*MConfig!$J$16),)+iferror((average(PreFinal!P60:S60)*MConfig!$J$17),)+((PreFinal!T60)*MConfig!$J$18),0)</f>
        <v>0</v>
      </c>
      <c r="T60" s="234">
        <f>ROUND(SUM(R60*MConfig!$K$13)+(S60*MConfig!$K$14),0)</f>
        <v>0</v>
      </c>
      <c r="U60" s="229" t="str">
        <f>IF(PreFinal!U60="",,(round(sum((PreFinal!U60/PreFinal!$U$19)*50)+50,0)))</f>
        <v/>
      </c>
      <c r="V60" s="230" t="str">
        <f t="shared" si="4"/>
        <v/>
      </c>
      <c r="W60" s="233" t="str">
        <f>IFNA(IF(PreFinal!V60="DRP","DRP",vlookup(V60,MConfig!$B$25:$C$33,2)),"")</f>
        <v/>
      </c>
      <c r="X60" s="216" t="str">
        <f>IF(Prelim!C60="",,(round((sum((Prelim!C60/Prelim!$C$19)*50)+50),0)))</f>
        <v/>
      </c>
      <c r="Y60" s="216" t="str">
        <f>IF(Prelim!D60="",,(round((sum((Prelim!D60/Prelim!$D$19)*50)+50),0)))</f>
        <v/>
      </c>
      <c r="Z60" s="216" t="str">
        <f>IF(Prelim!E60="",,round((sum((Prelim!E60/Prelim!$E$19)*50)+50),0))</f>
        <v/>
      </c>
      <c r="AA60" s="216" t="str">
        <f>IF(Prelim!F60="",,(round((sum((Prelim!F60/Prelim!$F$19)*50)+50),0)))</f>
        <v/>
      </c>
      <c r="AB60" s="216" t="str">
        <f>IF(Prelim!G60="",,(round((sum((Prelim!G60/Prelim!$G$19)*50)+50),0)))</f>
        <v/>
      </c>
      <c r="AC60" s="216" t="str">
        <f>IF(Midterm!C60="",,(round((sum((Midterm!C60/Midterm!$C$19)*50)+50),0)))</f>
        <v/>
      </c>
      <c r="AD60" s="216" t="str">
        <f>IF(Midterm!D60="",,(round((sum((Midterm!D60/Midterm!$D$19)*50)+50),0)))</f>
        <v/>
      </c>
      <c r="AE60" s="216" t="str">
        <f>IF(Midterm!E60="",,(round((sum((Midterm!E60/Midterm!$E$19)*50)+50),0)))</f>
        <v/>
      </c>
      <c r="AF60" s="216" t="str">
        <f>IF(Midterm!F60="",,(round((sum((Midterm!F60/Midterm!$F$19)*50)+50),0)))</f>
        <v/>
      </c>
      <c r="AG60" s="216" t="str">
        <f>IF(Midterm!G60="",,(round((sum((Midterm!G60/Midterm!$G$19)*50)+50),0)))</f>
        <v/>
      </c>
      <c r="AH60" s="216" t="str">
        <f>IF(PreFinal!C60="",,(round((sum((PreFinal!C60/PreFinal!$C$19)*50)+50),0)))</f>
        <v/>
      </c>
      <c r="AI60" s="216" t="str">
        <f>IF(PreFinal!D60="",,(round((sum((PreFinal!D60/PreFinal!$D$19)*50)+50),0)))</f>
        <v/>
      </c>
      <c r="AJ60" s="216" t="str">
        <f>IF(PreFinal!E60="",,(round((sum((PreFinal!E60/PreFinal!$E$19)*50)+50),0)))</f>
        <v/>
      </c>
      <c r="AK60" s="216" t="str">
        <f>IF(PreFinal!F60="",,(round((sum((PreFinal!F60/PreFinal!$F$19)*50)+50),0)))</f>
        <v/>
      </c>
      <c r="AL60" s="216" t="str">
        <f>IF(PreFinal!G60="",,(round((sum((PreFinal!G60/PreFinal!$G$19)*50)+50),0)))</f>
        <v/>
      </c>
      <c r="AM60" s="217"/>
      <c r="AN60" s="4"/>
    </row>
    <row r="61" ht="26.25" customHeight="1">
      <c r="A61" s="225"/>
      <c r="B61" s="225"/>
      <c r="C61" s="226">
        <v>42.0</v>
      </c>
      <c r="D61" s="227" t="str">
        <f>Prelim!$B61</f>
        <v/>
      </c>
      <c r="E61" s="228"/>
      <c r="F61" s="229">
        <f t="shared" si="1"/>
        <v>0</v>
      </c>
      <c r="G61" s="229">
        <f>round(iferror((AVERAGE(Prelim!H61:K61)*MConfig!$D$15),)+iferror((average(Prelim!L61:O61)*MConfig!$D$16),)+iferror((average(Prelim!P61:S61)*MConfig!$D$17),),0)</f>
        <v>0</v>
      </c>
      <c r="H61" s="229">
        <f>round(sum(F61*MConfig!$E$13)+(G61*MConfig!$E$14),0)</f>
        <v>0</v>
      </c>
      <c r="I61" s="229" t="str">
        <f>  if(Prelim!T61="",,  (round(sum((Prelim!T61/Prelim!$T$19)*50)+50,0)))</f>
        <v/>
      </c>
      <c r="J61" s="230" t="str">
        <f>IF(I61="",,round(SUM((H61*MConfig!$F$12)+(I61*MConfig!$F$11)),0))</f>
        <v/>
      </c>
      <c r="K61" s="231" t="str">
        <f>IFNA(IF(Prelim!U61="DRP","DRP",vlookup(J61,MConfig!$B$25:$C$33,2)),"")</f>
        <v/>
      </c>
      <c r="L61" s="229">
        <f t="shared" si="2"/>
        <v>0</v>
      </c>
      <c r="M61" s="229">
        <f>round(iferror((AVERAGE(Midterm!H61:K61)*MConfig!$G$15),)+iferror((average(Midterm!L61:O61)*MConfig!$G$16),)+iferror((average(Midterm!P61:S61)*MConfig!$G$17),),0)</f>
        <v>0</v>
      </c>
      <c r="N61" s="232">
        <f>round(SUM(L61*MConfig!$H$13)+(M61*MConfig!$H$14),0)</f>
        <v>0</v>
      </c>
      <c r="O61" s="232" t="str">
        <f>IF(Midterm!T61="",, (round(sum((Midterm!T61/Midterm!$T$19)*50)+50,0)))</f>
        <v/>
      </c>
      <c r="P61" s="230" t="str">
        <f>IF(O61="",,round(SUM((N61*MConfig!$I$12)+(O61*MConfig!$I$11)),0))</f>
        <v/>
      </c>
      <c r="Q61" s="233" t="str">
        <f>IFNA(IF(Midterm!U61="DRP","DRP",vlookup(P61,MConfig!$B$25:$C$33,2)),"")</f>
        <v/>
      </c>
      <c r="R61" s="234">
        <f t="shared" si="3"/>
        <v>0</v>
      </c>
      <c r="S61" s="234">
        <f>round(iferror((AVERAGE(PreFinal!H61:K61)*MConfig!$J$15),)+iferror((average(PreFinal!L61:O61)*MConfig!$J$16),)+iferror((average(PreFinal!P61:S61)*MConfig!$J$17),)+((PreFinal!T61)*MConfig!$J$18),0)</f>
        <v>0</v>
      </c>
      <c r="T61" s="234">
        <f>ROUND(SUM(R61*MConfig!$K$13)+(S61*MConfig!$K$14),0)</f>
        <v>0</v>
      </c>
      <c r="U61" s="229" t="str">
        <f>IF(PreFinal!U61="",,(round(sum((PreFinal!U61/PreFinal!$U$19)*50)+50,0)))</f>
        <v/>
      </c>
      <c r="V61" s="230" t="str">
        <f t="shared" si="4"/>
        <v/>
      </c>
      <c r="W61" s="233" t="str">
        <f>IFNA(IF(PreFinal!V61="DRP","DRP",vlookup(V61,MConfig!$B$25:$C$33,2)),"")</f>
        <v/>
      </c>
      <c r="X61" s="216" t="str">
        <f>IF(Prelim!C61="",,(round((sum((Prelim!C61/Prelim!$C$19)*50)+50),0)))</f>
        <v/>
      </c>
      <c r="Y61" s="216" t="str">
        <f>IF(Prelim!D61="",,(round((sum((Prelim!D61/Prelim!$D$19)*50)+50),0)))</f>
        <v/>
      </c>
      <c r="Z61" s="216" t="str">
        <f>IF(Prelim!E61="",,round((sum((Prelim!E61/Prelim!$E$19)*50)+50),0))</f>
        <v/>
      </c>
      <c r="AA61" s="216" t="str">
        <f>IF(Prelim!F61="",,(round((sum((Prelim!F61/Prelim!$F$19)*50)+50),0)))</f>
        <v/>
      </c>
      <c r="AB61" s="216" t="str">
        <f>IF(Prelim!G61="",,(round((sum((Prelim!G61/Prelim!$G$19)*50)+50),0)))</f>
        <v/>
      </c>
      <c r="AC61" s="216" t="str">
        <f>IF(Midterm!C61="",,(round((sum((Midterm!C61/Midterm!$C$19)*50)+50),0)))</f>
        <v/>
      </c>
      <c r="AD61" s="216" t="str">
        <f>IF(Midterm!D61="",,(round((sum((Midterm!D61/Midterm!$D$19)*50)+50),0)))</f>
        <v/>
      </c>
      <c r="AE61" s="216" t="str">
        <f>IF(Midterm!E61="",,(round((sum((Midterm!E61/Midterm!$E$19)*50)+50),0)))</f>
        <v/>
      </c>
      <c r="AF61" s="216" t="str">
        <f>IF(Midterm!F61="",,(round((sum((Midterm!F61/Midterm!$F$19)*50)+50),0)))</f>
        <v/>
      </c>
      <c r="AG61" s="216" t="str">
        <f>IF(Midterm!G61="",,(round((sum((Midterm!G61/Midterm!$G$19)*50)+50),0)))</f>
        <v/>
      </c>
      <c r="AH61" s="216" t="str">
        <f>IF(PreFinal!C61="",,(round((sum((PreFinal!C61/PreFinal!$C$19)*50)+50),0)))</f>
        <v/>
      </c>
      <c r="AI61" s="216" t="str">
        <f>IF(PreFinal!D61="",,(round((sum((PreFinal!D61/PreFinal!$D$19)*50)+50),0)))</f>
        <v/>
      </c>
      <c r="AJ61" s="216" t="str">
        <f>IF(PreFinal!E61="",,(round((sum((PreFinal!E61/PreFinal!$E$19)*50)+50),0)))</f>
        <v/>
      </c>
      <c r="AK61" s="216" t="str">
        <f>IF(PreFinal!F61="",,(round((sum((PreFinal!F61/PreFinal!$F$19)*50)+50),0)))</f>
        <v/>
      </c>
      <c r="AL61" s="216" t="str">
        <f>IF(PreFinal!G61="",,(round((sum((PreFinal!G61/PreFinal!$G$19)*50)+50),0)))</f>
        <v/>
      </c>
      <c r="AM61" s="217"/>
      <c r="AN61" s="4"/>
    </row>
    <row r="62" ht="26.25" customHeight="1">
      <c r="A62" s="225"/>
      <c r="B62" s="225"/>
      <c r="C62" s="226">
        <v>43.0</v>
      </c>
      <c r="D62" s="227" t="str">
        <f>Prelim!$B62</f>
        <v/>
      </c>
      <c r="E62" s="228"/>
      <c r="F62" s="229">
        <f t="shared" si="1"/>
        <v>0</v>
      </c>
      <c r="G62" s="229">
        <f>round(iferror((AVERAGE(Prelim!H62:K62)*MConfig!$D$15),)+iferror((average(Prelim!L62:O62)*MConfig!$D$16),)+iferror((average(Prelim!P62:S62)*MConfig!$D$17),),0)</f>
        <v>0</v>
      </c>
      <c r="H62" s="229">
        <f>round(sum(F62*MConfig!$E$13)+(G62*MConfig!$E$14),0)</f>
        <v>0</v>
      </c>
      <c r="I62" s="229" t="str">
        <f>  if(Prelim!T62="",,  (round(sum((Prelim!T62/Prelim!$T$19)*50)+50,0)))</f>
        <v/>
      </c>
      <c r="J62" s="230" t="str">
        <f>IF(I62="",,round(SUM((H62*MConfig!$F$12)+(I62*MConfig!$F$11)),0))</f>
        <v/>
      </c>
      <c r="K62" s="231" t="str">
        <f>IFNA(IF(Prelim!U62="DRP","DRP",vlookup(J62,MConfig!$B$25:$C$33,2)),"")</f>
        <v/>
      </c>
      <c r="L62" s="229">
        <f t="shared" si="2"/>
        <v>0</v>
      </c>
      <c r="M62" s="229">
        <f>round(iferror((AVERAGE(Midterm!H62:K62)*MConfig!$G$15),)+iferror((average(Midterm!L62:O62)*MConfig!$G$16),)+iferror((average(Midterm!P62:S62)*MConfig!$G$17),),0)</f>
        <v>0</v>
      </c>
      <c r="N62" s="232">
        <f>round(SUM(L62*MConfig!$H$13)+(M62*MConfig!$H$14),0)</f>
        <v>0</v>
      </c>
      <c r="O62" s="232" t="str">
        <f>IF(Midterm!T62="",, (round(sum((Midterm!T62/Midterm!$T$19)*50)+50,0)))</f>
        <v/>
      </c>
      <c r="P62" s="230" t="str">
        <f>IF(O62="",,round(SUM((N62*MConfig!$I$12)+(O62*MConfig!$I$11)),0))</f>
        <v/>
      </c>
      <c r="Q62" s="233" t="str">
        <f>IFNA(IF(Midterm!U62="DRP","DRP",vlookup(P62,MConfig!$B$25:$C$33,2)),"")</f>
        <v/>
      </c>
      <c r="R62" s="234">
        <f t="shared" si="3"/>
        <v>0</v>
      </c>
      <c r="S62" s="234">
        <f>round(iferror((AVERAGE(PreFinal!H62:K62)*MConfig!$J$15),)+iferror((average(PreFinal!L62:O62)*MConfig!$J$16),)+iferror((average(PreFinal!P62:S62)*MConfig!$J$17),)+((PreFinal!T62)*MConfig!$J$18),0)</f>
        <v>0</v>
      </c>
      <c r="T62" s="234">
        <f>ROUND(SUM(R62*MConfig!$K$13)+(S62*MConfig!$K$14),0)</f>
        <v>0</v>
      </c>
      <c r="U62" s="229" t="str">
        <f>IF(PreFinal!U62="",,(round(sum((PreFinal!U62/PreFinal!$U$19)*50)+50,0)))</f>
        <v/>
      </c>
      <c r="V62" s="230" t="str">
        <f t="shared" si="4"/>
        <v/>
      </c>
      <c r="W62" s="233" t="str">
        <f>IFNA(IF(PreFinal!V62="DRP","DRP",vlookup(V62,MConfig!$B$25:$C$33,2)),"")</f>
        <v/>
      </c>
      <c r="X62" s="216" t="str">
        <f>IF(Prelim!C62="",,(round((sum((Prelim!C62/Prelim!$C$19)*50)+50),0)))</f>
        <v/>
      </c>
      <c r="Y62" s="216" t="str">
        <f>IF(Prelim!D62="",,(round((sum((Prelim!D62/Prelim!$D$19)*50)+50),0)))</f>
        <v/>
      </c>
      <c r="Z62" s="216" t="str">
        <f>IF(Prelim!E62="",,round((sum((Prelim!E62/Prelim!$E$19)*50)+50),0))</f>
        <v/>
      </c>
      <c r="AA62" s="216" t="str">
        <f>IF(Prelim!F62="",,(round((sum((Prelim!F62/Prelim!$F$19)*50)+50),0)))</f>
        <v/>
      </c>
      <c r="AB62" s="216" t="str">
        <f>IF(Prelim!G62="",,(round((sum((Prelim!G62/Prelim!$G$19)*50)+50),0)))</f>
        <v/>
      </c>
      <c r="AC62" s="216" t="str">
        <f>IF(Midterm!C62="",,(round((sum((Midterm!C62/Midterm!$C$19)*50)+50),0)))</f>
        <v/>
      </c>
      <c r="AD62" s="216" t="str">
        <f>IF(Midterm!D62="",,(round((sum((Midterm!D62/Midterm!$D$19)*50)+50),0)))</f>
        <v/>
      </c>
      <c r="AE62" s="216" t="str">
        <f>IF(Midterm!E62="",,(round((sum((Midterm!E62/Midterm!$E$19)*50)+50),0)))</f>
        <v/>
      </c>
      <c r="AF62" s="216" t="str">
        <f>IF(Midterm!F62="",,(round((sum((Midterm!F62/Midterm!$F$19)*50)+50),0)))</f>
        <v/>
      </c>
      <c r="AG62" s="216" t="str">
        <f>IF(Midterm!G62="",,(round((sum((Midterm!G62/Midterm!$G$19)*50)+50),0)))</f>
        <v/>
      </c>
      <c r="AH62" s="216" t="str">
        <f>IF(PreFinal!C62="",,(round((sum((PreFinal!C62/PreFinal!$C$19)*50)+50),0)))</f>
        <v/>
      </c>
      <c r="AI62" s="216" t="str">
        <f>IF(PreFinal!D62="",,(round((sum((PreFinal!D62/PreFinal!$D$19)*50)+50),0)))</f>
        <v/>
      </c>
      <c r="AJ62" s="216" t="str">
        <f>IF(PreFinal!E62="",,(round((sum((PreFinal!E62/PreFinal!$E$19)*50)+50),0)))</f>
        <v/>
      </c>
      <c r="AK62" s="216" t="str">
        <f>IF(PreFinal!F62="",,(round((sum((PreFinal!F62/PreFinal!$F$19)*50)+50),0)))</f>
        <v/>
      </c>
      <c r="AL62" s="216" t="str">
        <f>IF(PreFinal!G62="",,(round((sum((PreFinal!G62/PreFinal!$G$19)*50)+50),0)))</f>
        <v/>
      </c>
      <c r="AM62" s="217"/>
      <c r="AN62" s="4"/>
    </row>
    <row r="63" ht="26.25" customHeight="1">
      <c r="A63" s="225"/>
      <c r="B63" s="225"/>
      <c r="C63" s="226">
        <v>44.0</v>
      </c>
      <c r="D63" s="227" t="str">
        <f>Prelim!$B63</f>
        <v/>
      </c>
      <c r="E63" s="228"/>
      <c r="F63" s="229">
        <f t="shared" si="1"/>
        <v>0</v>
      </c>
      <c r="G63" s="229">
        <f>round(iferror((AVERAGE(Prelim!H63:K63)*MConfig!$D$15),)+iferror((average(Prelim!L63:O63)*MConfig!$D$16),)+iferror((average(Prelim!P63:S63)*MConfig!$D$17),),0)</f>
        <v>0</v>
      </c>
      <c r="H63" s="229">
        <f>round(sum(F63*MConfig!$E$13)+(G63*MConfig!$E$14),0)</f>
        <v>0</v>
      </c>
      <c r="I63" s="229" t="str">
        <f>  if(Prelim!T63="",,  (round(sum((Prelim!T63/Prelim!$T$19)*50)+50,0)))</f>
        <v/>
      </c>
      <c r="J63" s="230" t="str">
        <f>IF(I63="",,round(SUM((H63*MConfig!$F$12)+(I63*MConfig!$F$11)),0))</f>
        <v/>
      </c>
      <c r="K63" s="231" t="str">
        <f>IFNA(IF(Prelim!U63="DRP","DRP",vlookup(J63,MConfig!$B$25:$C$33,2)),"")</f>
        <v/>
      </c>
      <c r="L63" s="229">
        <f t="shared" si="2"/>
        <v>0</v>
      </c>
      <c r="M63" s="229">
        <f>round(iferror((AVERAGE(Midterm!H63:K63)*MConfig!$G$15),)+iferror((average(Midterm!L63:O63)*MConfig!$G$16),)+iferror((average(Midterm!P63:S63)*MConfig!$G$17),),0)</f>
        <v>0</v>
      </c>
      <c r="N63" s="232">
        <f>round(SUM(L63*MConfig!$H$13)+(M63*MConfig!$H$14),0)</f>
        <v>0</v>
      </c>
      <c r="O63" s="232" t="str">
        <f>IF(Midterm!T63="",, (round(sum((Midterm!T63/Midterm!$T$19)*50)+50,0)))</f>
        <v/>
      </c>
      <c r="P63" s="230" t="str">
        <f>IF(O63="",,round(SUM((N63*MConfig!$I$12)+(O63*MConfig!$I$11)),0))</f>
        <v/>
      </c>
      <c r="Q63" s="233" t="str">
        <f>IFNA(IF(Midterm!U63="DRP","DRP",vlookup(P63,MConfig!$B$25:$C$33,2)),"")</f>
        <v/>
      </c>
      <c r="R63" s="234">
        <f t="shared" si="3"/>
        <v>0</v>
      </c>
      <c r="S63" s="234">
        <f>round(iferror((AVERAGE(PreFinal!H63:K63)*MConfig!$J$15),)+iferror((average(PreFinal!L63:O63)*MConfig!$J$16),)+iferror((average(PreFinal!P63:S63)*MConfig!$J$17),)+((PreFinal!T63)*MConfig!$J$18),0)</f>
        <v>0</v>
      </c>
      <c r="T63" s="234">
        <f>ROUND(SUM(R63*MConfig!$K$13)+(S63*MConfig!$K$14),0)</f>
        <v>0</v>
      </c>
      <c r="U63" s="229" t="str">
        <f>IF(PreFinal!U63="",,(round(sum((PreFinal!U63/PreFinal!$U$19)*50)+50,0)))</f>
        <v/>
      </c>
      <c r="V63" s="230" t="str">
        <f t="shared" si="4"/>
        <v/>
      </c>
      <c r="W63" s="233" t="str">
        <f>IFNA(IF(PreFinal!V63="DRP","DRP",vlookup(V63,MConfig!$B$25:$C$33,2)),"")</f>
        <v/>
      </c>
      <c r="X63" s="216" t="str">
        <f>IF(Prelim!C63="",,(round((sum((Prelim!C63/Prelim!$C$19)*50)+50),0)))</f>
        <v/>
      </c>
      <c r="Y63" s="216" t="str">
        <f>IF(Prelim!D63="",,(round((sum((Prelim!D63/Prelim!$D$19)*50)+50),0)))</f>
        <v/>
      </c>
      <c r="Z63" s="216" t="str">
        <f>IF(Prelim!E63="",,round((sum((Prelim!E63/Prelim!$E$19)*50)+50),0))</f>
        <v/>
      </c>
      <c r="AA63" s="216" t="str">
        <f>IF(Prelim!F63="",,(round((sum((Prelim!F63/Prelim!$F$19)*50)+50),0)))</f>
        <v/>
      </c>
      <c r="AB63" s="216" t="str">
        <f>IF(Prelim!G63="",,(round((sum((Prelim!G63/Prelim!$G$19)*50)+50),0)))</f>
        <v/>
      </c>
      <c r="AC63" s="216" t="str">
        <f>IF(Midterm!C63="",,(round((sum((Midterm!C63/Midterm!$C$19)*50)+50),0)))</f>
        <v/>
      </c>
      <c r="AD63" s="216" t="str">
        <f>IF(Midterm!D63="",,(round((sum((Midterm!D63/Midterm!$D$19)*50)+50),0)))</f>
        <v/>
      </c>
      <c r="AE63" s="216" t="str">
        <f>IF(Midterm!E63="",,(round((sum((Midterm!E63/Midterm!$E$19)*50)+50),0)))</f>
        <v/>
      </c>
      <c r="AF63" s="216" t="str">
        <f>IF(Midterm!F63="",,(round((sum((Midterm!F63/Midterm!$F$19)*50)+50),0)))</f>
        <v/>
      </c>
      <c r="AG63" s="216" t="str">
        <f>IF(Midterm!G63="",,(round((sum((Midterm!G63/Midterm!$G$19)*50)+50),0)))</f>
        <v/>
      </c>
      <c r="AH63" s="216" t="str">
        <f>IF(PreFinal!C63="",,(round((sum((PreFinal!C63/PreFinal!$C$19)*50)+50),0)))</f>
        <v/>
      </c>
      <c r="AI63" s="216" t="str">
        <f>IF(PreFinal!D63="",,(round((sum((PreFinal!D63/PreFinal!$D$19)*50)+50),0)))</f>
        <v/>
      </c>
      <c r="AJ63" s="216" t="str">
        <f>IF(PreFinal!E63="",,(round((sum((PreFinal!E63/PreFinal!$E$19)*50)+50),0)))</f>
        <v/>
      </c>
      <c r="AK63" s="216" t="str">
        <f>IF(PreFinal!F63="",,(round((sum((PreFinal!F63/PreFinal!$F$19)*50)+50),0)))</f>
        <v/>
      </c>
      <c r="AL63" s="216" t="str">
        <f>IF(PreFinal!G63="",,(round((sum((PreFinal!G63/PreFinal!$G$19)*50)+50),0)))</f>
        <v/>
      </c>
      <c r="AM63" s="217"/>
      <c r="AN63" s="4"/>
    </row>
    <row r="64" ht="26.25" customHeight="1">
      <c r="A64" s="225"/>
      <c r="B64" s="225"/>
      <c r="C64" s="226">
        <v>45.0</v>
      </c>
      <c r="D64" s="227" t="str">
        <f>Prelim!$B64</f>
        <v/>
      </c>
      <c r="E64" s="228"/>
      <c r="F64" s="229">
        <f t="shared" si="1"/>
        <v>0</v>
      </c>
      <c r="G64" s="229">
        <f>round(iferror((AVERAGE(Prelim!H64:K64)*MConfig!$D$15),)+iferror((average(Prelim!L64:O64)*MConfig!$D$16),)+iferror((average(Prelim!P64:S64)*MConfig!$D$17),),0)</f>
        <v>0</v>
      </c>
      <c r="H64" s="229">
        <f>round(sum(F64*MConfig!$E$13)+(G64*MConfig!$E$14),0)</f>
        <v>0</v>
      </c>
      <c r="I64" s="229" t="str">
        <f>  if(Prelim!T64="",,  (round(sum((Prelim!T64/Prelim!$T$19)*50)+50,0)))</f>
        <v/>
      </c>
      <c r="J64" s="230" t="str">
        <f>IF(I64="",,round(SUM((H64*MConfig!$F$12)+(I64*MConfig!$F$11)),0))</f>
        <v/>
      </c>
      <c r="K64" s="231" t="str">
        <f>IFNA(IF(Prelim!U64="DRP","DRP",vlookup(J64,MConfig!$B$25:$C$33,2)),"")</f>
        <v/>
      </c>
      <c r="L64" s="229">
        <f t="shared" si="2"/>
        <v>0</v>
      </c>
      <c r="M64" s="229">
        <f>round(iferror((AVERAGE(Midterm!H64:K64)*MConfig!$G$15),)+iferror((average(Midterm!L64:O64)*MConfig!$G$16),)+iferror((average(Midterm!P64:S64)*MConfig!$G$17),),0)</f>
        <v>0</v>
      </c>
      <c r="N64" s="232">
        <f>round(SUM(L64*MConfig!$H$13)+(M64*MConfig!$H$14),0)</f>
        <v>0</v>
      </c>
      <c r="O64" s="232" t="str">
        <f>IF(Midterm!T64="",, (round(sum((Midterm!T64/Midterm!$T$19)*50)+50,0)))</f>
        <v/>
      </c>
      <c r="P64" s="230" t="str">
        <f>IF(O64="",,round(SUM((N64*MConfig!$I$12)+(O64*MConfig!$I$11)),0))</f>
        <v/>
      </c>
      <c r="Q64" s="233" t="str">
        <f>IFNA(IF(Midterm!U64="DRP","DRP",vlookup(P64,MConfig!$B$25:$C$33,2)),"")</f>
        <v/>
      </c>
      <c r="R64" s="234">
        <f t="shared" si="3"/>
        <v>0</v>
      </c>
      <c r="S64" s="234">
        <f>round(iferror((AVERAGE(PreFinal!H64:K64)*MConfig!$J$15),)+iferror((average(PreFinal!L64:O64)*MConfig!$J$16),)+iferror((average(PreFinal!P64:S64)*MConfig!$J$17),)+((PreFinal!T64)*MConfig!$J$18),0)</f>
        <v>0</v>
      </c>
      <c r="T64" s="234">
        <f>ROUND(SUM(R64*MConfig!$K$13)+(S64*MConfig!$K$14),0)</f>
        <v>0</v>
      </c>
      <c r="U64" s="229" t="str">
        <f>IF(PreFinal!U64="",,(round(sum((PreFinal!U64/PreFinal!$U$19)*50)+50,0)))</f>
        <v/>
      </c>
      <c r="V64" s="230" t="str">
        <f t="shared" si="4"/>
        <v/>
      </c>
      <c r="W64" s="233" t="str">
        <f>IFNA(IF(PreFinal!V64="DRP","DRP",vlookup(V64,MConfig!$B$25:$C$33,2)),"")</f>
        <v/>
      </c>
      <c r="X64" s="216" t="str">
        <f>IF(Prelim!C64="",,(round((sum((Prelim!C64/Prelim!$C$19)*50)+50),0)))</f>
        <v/>
      </c>
      <c r="Y64" s="216" t="str">
        <f>IF(Prelim!D64="",,(round((sum((Prelim!D64/Prelim!$D$19)*50)+50),0)))</f>
        <v/>
      </c>
      <c r="Z64" s="216" t="str">
        <f>IF(Prelim!E64="",,round((sum((Prelim!E64/Prelim!$E$19)*50)+50),0))</f>
        <v/>
      </c>
      <c r="AA64" s="216" t="str">
        <f>IF(Prelim!F64="",,(round((sum((Prelim!F64/Prelim!$F$19)*50)+50),0)))</f>
        <v/>
      </c>
      <c r="AB64" s="216" t="str">
        <f>IF(Prelim!G64="",,(round((sum((Prelim!G64/Prelim!$G$19)*50)+50),0)))</f>
        <v/>
      </c>
      <c r="AC64" s="216" t="str">
        <f>IF(Midterm!C64="",,(round((sum((Midterm!C64/Midterm!$C$19)*50)+50),0)))</f>
        <v/>
      </c>
      <c r="AD64" s="216" t="str">
        <f>IF(Midterm!D64="",,(round((sum((Midterm!D64/Midterm!$D$19)*50)+50),0)))</f>
        <v/>
      </c>
      <c r="AE64" s="216" t="str">
        <f>IF(Midterm!E64="",,(round((sum((Midterm!E64/Midterm!$E$19)*50)+50),0)))</f>
        <v/>
      </c>
      <c r="AF64" s="216" t="str">
        <f>IF(Midterm!F64="",,(round((sum((Midterm!F64/Midterm!$F$19)*50)+50),0)))</f>
        <v/>
      </c>
      <c r="AG64" s="216" t="str">
        <f>IF(Midterm!G64="",,(round((sum((Midterm!G64/Midterm!$G$19)*50)+50),0)))</f>
        <v/>
      </c>
      <c r="AH64" s="216" t="str">
        <f>IF(PreFinal!C64="",,(round((sum((PreFinal!C64/PreFinal!$C$19)*50)+50),0)))</f>
        <v/>
      </c>
      <c r="AI64" s="216" t="str">
        <f>IF(PreFinal!D64="",,(round((sum((PreFinal!D64/PreFinal!$D$19)*50)+50),0)))</f>
        <v/>
      </c>
      <c r="AJ64" s="216" t="str">
        <f>IF(PreFinal!E64="",,(round((sum((PreFinal!E64/PreFinal!$E$19)*50)+50),0)))</f>
        <v/>
      </c>
      <c r="AK64" s="216" t="str">
        <f>IF(PreFinal!F64="",,(round((sum((PreFinal!F64/PreFinal!$F$19)*50)+50),0)))</f>
        <v/>
      </c>
      <c r="AL64" s="216" t="str">
        <f>IF(PreFinal!G64="",,(round((sum((PreFinal!G64/PreFinal!$G$19)*50)+50),0)))</f>
        <v/>
      </c>
      <c r="AM64" s="217"/>
      <c r="AN64" s="4"/>
    </row>
    <row r="65" ht="26.25" customHeight="1">
      <c r="A65" s="225"/>
      <c r="B65" s="225"/>
      <c r="C65" s="226">
        <v>46.0</v>
      </c>
      <c r="D65" s="227" t="str">
        <f>Prelim!$B65</f>
        <v/>
      </c>
      <c r="E65" s="228"/>
      <c r="F65" s="229">
        <f t="shared" si="1"/>
        <v>0</v>
      </c>
      <c r="G65" s="229">
        <f>round(iferror((AVERAGE(Prelim!H65:K65)*MConfig!$D$15),)+iferror((average(Prelim!L65:O65)*MConfig!$D$16),)+iferror((average(Prelim!P65:S65)*MConfig!$D$17),),0)</f>
        <v>0</v>
      </c>
      <c r="H65" s="229">
        <f>round(sum(F65*MConfig!$E$13)+(G65*MConfig!$E$14),0)</f>
        <v>0</v>
      </c>
      <c r="I65" s="229" t="str">
        <f>  if(Prelim!T65="",,  (round(sum((Prelim!T65/Prelim!$T$19)*50)+50,0)))</f>
        <v/>
      </c>
      <c r="J65" s="230" t="str">
        <f>IF(I65="",,round(SUM((H65*MConfig!$F$12)+(I65*MConfig!$F$11)),0))</f>
        <v/>
      </c>
      <c r="K65" s="231" t="str">
        <f>IFNA(IF(Prelim!U65="DRP","DRP",vlookup(J65,MConfig!$B$25:$C$33,2)),"")</f>
        <v/>
      </c>
      <c r="L65" s="229">
        <f t="shared" si="2"/>
        <v>0</v>
      </c>
      <c r="M65" s="229">
        <f>round(iferror((AVERAGE(Midterm!H65:K65)*MConfig!$G$15),)+iferror((average(Midterm!L65:O65)*MConfig!$G$16),)+iferror((average(Midterm!P65:S65)*MConfig!$G$17),),0)</f>
        <v>0</v>
      </c>
      <c r="N65" s="232">
        <f>round(SUM(L65*MConfig!$H$13)+(M65*MConfig!$H$14),0)</f>
        <v>0</v>
      </c>
      <c r="O65" s="232" t="str">
        <f>IF(Midterm!T65="",, (round(sum((Midterm!T65/Midterm!$T$19)*50)+50,0)))</f>
        <v/>
      </c>
      <c r="P65" s="230" t="str">
        <f>IF(O65="",,round(SUM((N65*MConfig!$I$12)+(O65*MConfig!$I$11)),0))</f>
        <v/>
      </c>
      <c r="Q65" s="233" t="str">
        <f>IFNA(IF(Midterm!U65="DRP","DRP",vlookup(P65,MConfig!$B$25:$C$33,2)),"")</f>
        <v/>
      </c>
      <c r="R65" s="234">
        <f t="shared" si="3"/>
        <v>0</v>
      </c>
      <c r="S65" s="234">
        <f>round(iferror((AVERAGE(PreFinal!H65:K65)*MConfig!$J$15),)+iferror((average(PreFinal!L65:O65)*MConfig!$J$16),)+iferror((average(PreFinal!P65:S65)*MConfig!$J$17),)+((PreFinal!T65)*MConfig!$J$18),0)</f>
        <v>0</v>
      </c>
      <c r="T65" s="234">
        <f>ROUND(SUM(R65*MConfig!$K$13)+(S65*MConfig!$K$14),0)</f>
        <v>0</v>
      </c>
      <c r="U65" s="229" t="str">
        <f>IF(PreFinal!U65="",,(round(sum((PreFinal!U65/PreFinal!$U$19)*50)+50,0)))</f>
        <v/>
      </c>
      <c r="V65" s="230" t="str">
        <f t="shared" si="4"/>
        <v/>
      </c>
      <c r="W65" s="233" t="str">
        <f>IFNA(IF(PreFinal!V65="DRP","DRP",vlookup(V65,MConfig!$B$25:$C$33,2)),"")</f>
        <v/>
      </c>
      <c r="X65" s="216" t="str">
        <f>IF(Prelim!C65="",,(round((sum((Prelim!C65/Prelim!$C$19)*50)+50),0)))</f>
        <v/>
      </c>
      <c r="Y65" s="216" t="str">
        <f>IF(Prelim!D65="",,(round((sum((Prelim!D65/Prelim!$D$19)*50)+50),0)))</f>
        <v/>
      </c>
      <c r="Z65" s="216" t="str">
        <f>IF(Prelim!E65="",,round((sum((Prelim!E65/Prelim!$E$19)*50)+50),0))</f>
        <v/>
      </c>
      <c r="AA65" s="216" t="str">
        <f>IF(Prelim!F65="",,(round((sum((Prelim!F65/Prelim!$F$19)*50)+50),0)))</f>
        <v/>
      </c>
      <c r="AB65" s="216" t="str">
        <f>IF(Prelim!G65="",,(round((sum((Prelim!G65/Prelim!$G$19)*50)+50),0)))</f>
        <v/>
      </c>
      <c r="AC65" s="216" t="str">
        <f>IF(Midterm!C65="",,(round((sum((Midterm!C65/Midterm!$C$19)*50)+50),0)))</f>
        <v/>
      </c>
      <c r="AD65" s="216" t="str">
        <f>IF(Midterm!D65="",,(round((sum((Midterm!D65/Midterm!$D$19)*50)+50),0)))</f>
        <v/>
      </c>
      <c r="AE65" s="216" t="str">
        <f>IF(Midterm!E65="",,(round((sum((Midterm!E65/Midterm!$E$19)*50)+50),0)))</f>
        <v/>
      </c>
      <c r="AF65" s="216" t="str">
        <f>IF(Midterm!F65="",,(round((sum((Midterm!F65/Midterm!$F$19)*50)+50),0)))</f>
        <v/>
      </c>
      <c r="AG65" s="216" t="str">
        <f>IF(Midterm!G65="",,(round((sum((Midterm!G65/Midterm!$G$19)*50)+50),0)))</f>
        <v/>
      </c>
      <c r="AH65" s="216" t="str">
        <f>IF(PreFinal!C65="",,(round((sum((PreFinal!C65/PreFinal!$C$19)*50)+50),0)))</f>
        <v/>
      </c>
      <c r="AI65" s="216" t="str">
        <f>IF(PreFinal!D65="",,(round((sum((PreFinal!D65/PreFinal!$D$19)*50)+50),0)))</f>
        <v/>
      </c>
      <c r="AJ65" s="216" t="str">
        <f>IF(PreFinal!E65="",,(round((sum((PreFinal!E65/PreFinal!$E$19)*50)+50),0)))</f>
        <v/>
      </c>
      <c r="AK65" s="216" t="str">
        <f>IF(PreFinal!F65="",,(round((sum((PreFinal!F65/PreFinal!$F$19)*50)+50),0)))</f>
        <v/>
      </c>
      <c r="AL65" s="216" t="str">
        <f>IF(PreFinal!G65="",,(round((sum((PreFinal!G65/PreFinal!$G$19)*50)+50),0)))</f>
        <v/>
      </c>
      <c r="AM65" s="217"/>
      <c r="AN65" s="4"/>
    </row>
    <row r="66" ht="26.25" customHeight="1">
      <c r="A66" s="225"/>
      <c r="B66" s="225"/>
      <c r="C66" s="226">
        <v>47.0</v>
      </c>
      <c r="D66" s="227" t="str">
        <f>Prelim!$B66</f>
        <v/>
      </c>
      <c r="E66" s="228"/>
      <c r="F66" s="229">
        <f t="shared" si="1"/>
        <v>0</v>
      </c>
      <c r="G66" s="229">
        <f>round(iferror((AVERAGE(Prelim!H66:K66)*MConfig!$D$15),)+iferror((average(Prelim!L66:O66)*MConfig!$D$16),)+iferror((average(Prelim!P66:S66)*MConfig!$D$17),),0)</f>
        <v>0</v>
      </c>
      <c r="H66" s="229">
        <f>round(sum(F66*MConfig!$E$13)+(G66*MConfig!$E$14),0)</f>
        <v>0</v>
      </c>
      <c r="I66" s="229" t="str">
        <f>  if(Prelim!T66="",,  (round(sum((Prelim!T66/Prelim!$T$19)*50)+50,0)))</f>
        <v/>
      </c>
      <c r="J66" s="230" t="str">
        <f>IF(I66="",,round(SUM((H66*MConfig!$F$12)+(I66*MConfig!$F$11)),0))</f>
        <v/>
      </c>
      <c r="K66" s="231" t="str">
        <f>IFNA(IF(Prelim!U66="DRP","DRP",vlookup(J66,MConfig!$B$25:$C$33,2)),"")</f>
        <v/>
      </c>
      <c r="L66" s="229">
        <f t="shared" si="2"/>
        <v>0</v>
      </c>
      <c r="M66" s="229">
        <f>round(iferror((AVERAGE(Midterm!H66:K66)*MConfig!$G$15),)+iferror((average(Midterm!L66:O66)*MConfig!$G$16),)+iferror((average(Midterm!P66:S66)*MConfig!$G$17),),0)</f>
        <v>0</v>
      </c>
      <c r="N66" s="232">
        <f>round(SUM(L66*MConfig!$H$13)+(M66*MConfig!$H$14),0)</f>
        <v>0</v>
      </c>
      <c r="O66" s="232" t="str">
        <f>IF(Midterm!T66="",, (round(sum((Midterm!T66/Midterm!$T$19)*50)+50,0)))</f>
        <v/>
      </c>
      <c r="P66" s="230" t="str">
        <f>IF(O66="",,round(SUM((N66*MConfig!$I$12)+(O66*MConfig!$I$11)),0))</f>
        <v/>
      </c>
      <c r="Q66" s="233" t="str">
        <f>IFNA(IF(Midterm!U66="DRP","DRP",vlookup(P66,MConfig!$B$25:$C$33,2)),"")</f>
        <v/>
      </c>
      <c r="R66" s="234">
        <f t="shared" si="3"/>
        <v>0</v>
      </c>
      <c r="S66" s="234">
        <f>round(iferror((AVERAGE(PreFinal!H66:K66)*MConfig!$J$15),)+iferror((average(PreFinal!L66:O66)*MConfig!$J$16),)+iferror((average(PreFinal!P66:S66)*MConfig!$J$17),)+((PreFinal!T66)*MConfig!$J$18),0)</f>
        <v>0</v>
      </c>
      <c r="T66" s="234">
        <f>ROUND(SUM(R66*MConfig!$K$13)+(S66*MConfig!$K$14),0)</f>
        <v>0</v>
      </c>
      <c r="U66" s="229" t="str">
        <f>IF(PreFinal!U66="",,(round(sum((PreFinal!U66/PreFinal!$U$19)*50)+50,0)))</f>
        <v/>
      </c>
      <c r="V66" s="230" t="str">
        <f t="shared" si="4"/>
        <v/>
      </c>
      <c r="W66" s="233" t="str">
        <f>IFNA(IF(PreFinal!V66="DRP","DRP",vlookup(V66,MConfig!$B$25:$C$33,2)),"")</f>
        <v/>
      </c>
      <c r="X66" s="216" t="str">
        <f>IF(Prelim!C66="",,(round((sum((Prelim!C66/Prelim!$C$19)*50)+50),0)))</f>
        <v/>
      </c>
      <c r="Y66" s="216" t="str">
        <f>IF(Prelim!D66="",,(round((sum((Prelim!D66/Prelim!$D$19)*50)+50),0)))</f>
        <v/>
      </c>
      <c r="Z66" s="216" t="str">
        <f>IF(Prelim!E66="",,round((sum((Prelim!E66/Prelim!$E$19)*50)+50),0))</f>
        <v/>
      </c>
      <c r="AA66" s="216" t="str">
        <f>IF(Prelim!F66="",,(round((sum((Prelim!F66/Prelim!$F$19)*50)+50),0)))</f>
        <v/>
      </c>
      <c r="AB66" s="216" t="str">
        <f>IF(Prelim!G66="",,(round((sum((Prelim!G66/Prelim!$G$19)*50)+50),0)))</f>
        <v/>
      </c>
      <c r="AC66" s="216" t="str">
        <f>IF(Midterm!C66="",,(round((sum((Midterm!C66/Midterm!$C$19)*50)+50),0)))</f>
        <v/>
      </c>
      <c r="AD66" s="216" t="str">
        <f>IF(Midterm!D66="",,(round((sum((Midterm!D66/Midterm!$D$19)*50)+50),0)))</f>
        <v/>
      </c>
      <c r="AE66" s="216" t="str">
        <f>IF(Midterm!E66="",,(round((sum((Midterm!E66/Midterm!$E$19)*50)+50),0)))</f>
        <v/>
      </c>
      <c r="AF66" s="216" t="str">
        <f>IF(Midterm!F66="",,(round((sum((Midterm!F66/Midterm!$F$19)*50)+50),0)))</f>
        <v/>
      </c>
      <c r="AG66" s="216" t="str">
        <f>IF(Midterm!G66="",,(round((sum((Midterm!G66/Midterm!$G$19)*50)+50),0)))</f>
        <v/>
      </c>
      <c r="AH66" s="216" t="str">
        <f>IF(PreFinal!C66="",,(round((sum((PreFinal!C66/PreFinal!$C$19)*50)+50),0)))</f>
        <v/>
      </c>
      <c r="AI66" s="216" t="str">
        <f>IF(PreFinal!D66="",,(round((sum((PreFinal!D66/PreFinal!$D$19)*50)+50),0)))</f>
        <v/>
      </c>
      <c r="AJ66" s="216" t="str">
        <f>IF(PreFinal!E66="",,(round((sum((PreFinal!E66/PreFinal!$E$19)*50)+50),0)))</f>
        <v/>
      </c>
      <c r="AK66" s="216" t="str">
        <f>IF(PreFinal!F66="",,(round((sum((PreFinal!F66/PreFinal!$F$19)*50)+50),0)))</f>
        <v/>
      </c>
      <c r="AL66" s="216" t="str">
        <f>IF(PreFinal!G66="",,(round((sum((PreFinal!G66/PreFinal!$G$19)*50)+50),0)))</f>
        <v/>
      </c>
      <c r="AM66" s="217"/>
      <c r="AN66" s="4"/>
    </row>
    <row r="67" ht="26.25" customHeight="1">
      <c r="A67" s="225"/>
      <c r="B67" s="225"/>
      <c r="C67" s="226">
        <v>48.0</v>
      </c>
      <c r="D67" s="227" t="str">
        <f>Prelim!$B67</f>
        <v/>
      </c>
      <c r="E67" s="228"/>
      <c r="F67" s="229">
        <f t="shared" si="1"/>
        <v>0</v>
      </c>
      <c r="G67" s="229">
        <f>round(iferror((AVERAGE(Prelim!H67:K67)*MConfig!$D$15),)+iferror((average(Prelim!L67:O67)*MConfig!$D$16),)+iferror((average(Prelim!P67:S67)*MConfig!$D$17),),0)</f>
        <v>0</v>
      </c>
      <c r="H67" s="229">
        <f>round(sum(F67*MConfig!$E$13)+(G67*MConfig!$E$14),0)</f>
        <v>0</v>
      </c>
      <c r="I67" s="229" t="str">
        <f>  if(Prelim!T67="",,  (round(sum((Prelim!T67/Prelim!$T$19)*50)+50,0)))</f>
        <v/>
      </c>
      <c r="J67" s="230" t="str">
        <f>IF(I67="",,round(SUM((H67*MConfig!$F$12)+(I67*MConfig!$F$11)),0))</f>
        <v/>
      </c>
      <c r="K67" s="231" t="str">
        <f>IFNA(IF(Prelim!U67="DRP","DRP",vlookup(J67,MConfig!$B$25:$C$33,2)),"")</f>
        <v/>
      </c>
      <c r="L67" s="229">
        <f t="shared" si="2"/>
        <v>0</v>
      </c>
      <c r="M67" s="229">
        <f>round(iferror((AVERAGE(Midterm!H67:K67)*MConfig!$G$15),)+iferror((average(Midterm!L67:O67)*MConfig!$G$16),)+iferror((average(Midterm!P67:S67)*MConfig!$G$17),),0)</f>
        <v>0</v>
      </c>
      <c r="N67" s="232">
        <f>round(SUM(L67*MConfig!$H$13)+(M67*MConfig!$H$14),0)</f>
        <v>0</v>
      </c>
      <c r="O67" s="232" t="str">
        <f>IF(Midterm!T67="",, (round(sum((Midterm!T67/Midterm!$T$19)*50)+50,0)))</f>
        <v/>
      </c>
      <c r="P67" s="230" t="str">
        <f>IF(O67="",,round(SUM((N67*MConfig!$I$12)+(O67*MConfig!$I$11)),0))</f>
        <v/>
      </c>
      <c r="Q67" s="233" t="str">
        <f>IFNA(IF(Midterm!U67="DRP","DRP",vlookup(P67,MConfig!$B$25:$C$33,2)),"")</f>
        <v/>
      </c>
      <c r="R67" s="234">
        <f t="shared" si="3"/>
        <v>0</v>
      </c>
      <c r="S67" s="234">
        <f>round(iferror((AVERAGE(PreFinal!H67:K67)*MConfig!$J$15),)+iferror((average(PreFinal!L67:O67)*MConfig!$J$16),)+iferror((average(PreFinal!P67:S67)*MConfig!$J$17),)+((PreFinal!T67)*MConfig!$J$18),0)</f>
        <v>0</v>
      </c>
      <c r="T67" s="234">
        <f>ROUND(SUM(R67*MConfig!$K$13)+(S67*MConfig!$K$14),0)</f>
        <v>0</v>
      </c>
      <c r="U67" s="229" t="str">
        <f>IF(PreFinal!U67="",,(round(sum((PreFinal!U67/PreFinal!$U$19)*50)+50,0)))</f>
        <v/>
      </c>
      <c r="V67" s="230" t="str">
        <f t="shared" si="4"/>
        <v/>
      </c>
      <c r="W67" s="233" t="str">
        <f>IFNA(IF(PreFinal!V67="DRP","DRP",vlookup(V67,MConfig!$B$25:$C$33,2)),"")</f>
        <v/>
      </c>
      <c r="X67" s="216" t="str">
        <f>IF(Prelim!C67="",,(round((sum((Prelim!C67/Prelim!$C$19)*50)+50),0)))</f>
        <v/>
      </c>
      <c r="Y67" s="216" t="str">
        <f>IF(Prelim!D67="",,(round((sum((Prelim!D67/Prelim!$D$19)*50)+50),0)))</f>
        <v/>
      </c>
      <c r="Z67" s="216" t="str">
        <f>IF(Prelim!E67="",,round((sum((Prelim!E67/Prelim!$E$19)*50)+50),0))</f>
        <v/>
      </c>
      <c r="AA67" s="216" t="str">
        <f>IF(Prelim!F67="",,(round((sum((Prelim!F67/Prelim!$F$19)*50)+50),0)))</f>
        <v/>
      </c>
      <c r="AB67" s="216" t="str">
        <f>IF(Prelim!G67="",,(round((sum((Prelim!G67/Prelim!$G$19)*50)+50),0)))</f>
        <v/>
      </c>
      <c r="AC67" s="216" t="str">
        <f>IF(Midterm!C67="",,(round((sum((Midterm!C67/Midterm!$C$19)*50)+50),0)))</f>
        <v/>
      </c>
      <c r="AD67" s="216" t="str">
        <f>IF(Midterm!D67="",,(round((sum((Midterm!D67/Midterm!$D$19)*50)+50),0)))</f>
        <v/>
      </c>
      <c r="AE67" s="216" t="str">
        <f>IF(Midterm!E67="",,(round((sum((Midterm!E67/Midterm!$E$19)*50)+50),0)))</f>
        <v/>
      </c>
      <c r="AF67" s="216" t="str">
        <f>IF(Midterm!F67="",,(round((sum((Midterm!F67/Midterm!$F$19)*50)+50),0)))</f>
        <v/>
      </c>
      <c r="AG67" s="216" t="str">
        <f>IF(Midterm!G67="",,(round((sum((Midterm!G67/Midterm!$G$19)*50)+50),0)))</f>
        <v/>
      </c>
      <c r="AH67" s="216" t="str">
        <f>IF(PreFinal!C67="",,(round((sum((PreFinal!C67/PreFinal!$C$19)*50)+50),0)))</f>
        <v/>
      </c>
      <c r="AI67" s="216" t="str">
        <f>IF(PreFinal!D67="",,(round((sum((PreFinal!D67/PreFinal!$D$19)*50)+50),0)))</f>
        <v/>
      </c>
      <c r="AJ67" s="216" t="str">
        <f>IF(PreFinal!E67="",,(round((sum((PreFinal!E67/PreFinal!$E$19)*50)+50),0)))</f>
        <v/>
      </c>
      <c r="AK67" s="216" t="str">
        <f>IF(PreFinal!F67="",,(round((sum((PreFinal!F67/PreFinal!$F$19)*50)+50),0)))</f>
        <v/>
      </c>
      <c r="AL67" s="216" t="str">
        <f>IF(PreFinal!G67="",,(round((sum((PreFinal!G67/PreFinal!$G$19)*50)+50),0)))</f>
        <v/>
      </c>
      <c r="AM67" s="217"/>
      <c r="AN67" s="4"/>
    </row>
    <row r="68" ht="26.25" customHeight="1">
      <c r="A68" s="225"/>
      <c r="B68" s="225"/>
      <c r="C68" s="226">
        <v>49.0</v>
      </c>
      <c r="D68" s="227" t="str">
        <f>Prelim!$B68</f>
        <v/>
      </c>
      <c r="E68" s="228"/>
      <c r="F68" s="229">
        <f t="shared" si="1"/>
        <v>0</v>
      </c>
      <c r="G68" s="229">
        <f>round(iferror((AVERAGE(Prelim!H68:K68)*MConfig!$D$15),)+iferror((average(Prelim!L68:O68)*MConfig!$D$16),)+iferror((average(Prelim!P68:S68)*MConfig!$D$17),),0)</f>
        <v>0</v>
      </c>
      <c r="H68" s="229">
        <f>round(sum(F68*MConfig!$E$13)+(G68*MConfig!$E$14),0)</f>
        <v>0</v>
      </c>
      <c r="I68" s="229" t="str">
        <f>  if(Prelim!T68="",,  (round(sum((Prelim!T68/Prelim!$T$19)*50)+50,0)))</f>
        <v/>
      </c>
      <c r="J68" s="230" t="str">
        <f>IF(I68="",,round(SUM((H68*MConfig!$F$12)+(I68*MConfig!$F$11)),0))</f>
        <v/>
      </c>
      <c r="K68" s="231" t="str">
        <f>IFNA(IF(Prelim!U68="DRP","DRP",vlookup(J68,MConfig!$B$25:$C$33,2)),"")</f>
        <v/>
      </c>
      <c r="L68" s="229">
        <f t="shared" si="2"/>
        <v>0</v>
      </c>
      <c r="M68" s="229">
        <f>round(iferror((AVERAGE(Midterm!H68:K68)*MConfig!$G$15),)+iferror((average(Midterm!L68:O68)*MConfig!$G$16),)+iferror((average(Midterm!P68:S68)*MConfig!$G$17),),0)</f>
        <v>0</v>
      </c>
      <c r="N68" s="232">
        <f>round(SUM(L68*MConfig!$H$13)+(M68*MConfig!$H$14),0)</f>
        <v>0</v>
      </c>
      <c r="O68" s="232" t="str">
        <f>IF(Midterm!T68="",, (round(sum((Midterm!T68/Midterm!$T$19)*50)+50,0)))</f>
        <v/>
      </c>
      <c r="P68" s="230" t="str">
        <f>IF(O68="",,round(SUM((N68*MConfig!$I$12)+(O68*MConfig!$I$11)),0))</f>
        <v/>
      </c>
      <c r="Q68" s="233" t="str">
        <f>IFNA(IF(Midterm!U68="DRP","DRP",vlookup(P68,MConfig!$B$25:$C$33,2)),"")</f>
        <v/>
      </c>
      <c r="R68" s="234">
        <f t="shared" si="3"/>
        <v>0</v>
      </c>
      <c r="S68" s="234">
        <f>round(iferror((AVERAGE(PreFinal!H68:K68)*MConfig!$J$15),)+iferror((average(PreFinal!L68:O68)*MConfig!$J$16),)+iferror((average(PreFinal!P68:S68)*MConfig!$J$17),)+((PreFinal!T68)*MConfig!$J$18),0)</f>
        <v>0</v>
      </c>
      <c r="T68" s="234">
        <f>ROUND(SUM(R68*MConfig!$K$13)+(S68*MConfig!$K$14),0)</f>
        <v>0</v>
      </c>
      <c r="U68" s="229" t="str">
        <f>IF(PreFinal!U68="",,(round(sum((PreFinal!U68/PreFinal!$U$19)*50)+50,0)))</f>
        <v/>
      </c>
      <c r="V68" s="230" t="str">
        <f t="shared" si="4"/>
        <v/>
      </c>
      <c r="W68" s="233" t="str">
        <f>IFNA(IF(PreFinal!V68="DRP","DRP",vlookup(V68,MConfig!$B$25:$C$33,2)),"")</f>
        <v/>
      </c>
      <c r="X68" s="216" t="str">
        <f>IF(Prelim!C68="",,(round((sum((Prelim!C68/Prelim!$C$19)*50)+50),0)))</f>
        <v/>
      </c>
      <c r="Y68" s="216" t="str">
        <f>IF(Prelim!D68="",,(round((sum((Prelim!D68/Prelim!$D$19)*50)+50),0)))</f>
        <v/>
      </c>
      <c r="Z68" s="216" t="str">
        <f>IF(Prelim!E68="",,round((sum((Prelim!E68/Prelim!$E$19)*50)+50),0))</f>
        <v/>
      </c>
      <c r="AA68" s="216" t="str">
        <f>IF(Prelim!F68="",,(round((sum((Prelim!F68/Prelim!$F$19)*50)+50),0)))</f>
        <v/>
      </c>
      <c r="AB68" s="216" t="str">
        <f>IF(Prelim!G68="",,(round((sum((Prelim!G68/Prelim!$G$19)*50)+50),0)))</f>
        <v/>
      </c>
      <c r="AC68" s="216" t="str">
        <f>IF(Midterm!C68="",,(round((sum((Midterm!C68/Midterm!$C$19)*50)+50),0)))</f>
        <v/>
      </c>
      <c r="AD68" s="216" t="str">
        <f>IF(Midterm!D68="",,(round((sum((Midterm!D68/Midterm!$D$19)*50)+50),0)))</f>
        <v/>
      </c>
      <c r="AE68" s="216" t="str">
        <f>IF(Midterm!E68="",,(round((sum((Midterm!E68/Midterm!$E$19)*50)+50),0)))</f>
        <v/>
      </c>
      <c r="AF68" s="216" t="str">
        <f>IF(Midterm!F68="",,(round((sum((Midterm!F68/Midterm!$F$19)*50)+50),0)))</f>
        <v/>
      </c>
      <c r="AG68" s="216" t="str">
        <f>IF(Midterm!G68="",,(round((sum((Midterm!G68/Midterm!$G$19)*50)+50),0)))</f>
        <v/>
      </c>
      <c r="AH68" s="216" t="str">
        <f>IF(PreFinal!C68="",,(round((sum((PreFinal!C68/PreFinal!$C$19)*50)+50),0)))</f>
        <v/>
      </c>
      <c r="AI68" s="216" t="str">
        <f>IF(PreFinal!D68="",,(round((sum((PreFinal!D68/PreFinal!$D$19)*50)+50),0)))</f>
        <v/>
      </c>
      <c r="AJ68" s="216" t="str">
        <f>IF(PreFinal!E68="",,(round((sum((PreFinal!E68/PreFinal!$E$19)*50)+50),0)))</f>
        <v/>
      </c>
      <c r="AK68" s="216" t="str">
        <f>IF(PreFinal!F68="",,(round((sum((PreFinal!F68/PreFinal!$F$19)*50)+50),0)))</f>
        <v/>
      </c>
      <c r="AL68" s="216" t="str">
        <f>IF(PreFinal!G68="",,(round((sum((PreFinal!G68/PreFinal!$G$19)*50)+50),0)))</f>
        <v/>
      </c>
      <c r="AM68" s="217"/>
      <c r="AN68" s="4"/>
    </row>
    <row r="69" ht="26.25" customHeight="1">
      <c r="A69" s="225"/>
      <c r="B69" s="225"/>
      <c r="C69" s="226">
        <v>50.0</v>
      </c>
      <c r="D69" s="227" t="str">
        <f>Prelim!$B69</f>
        <v/>
      </c>
      <c r="E69" s="228"/>
      <c r="F69" s="229">
        <f t="shared" si="1"/>
        <v>0</v>
      </c>
      <c r="G69" s="229">
        <f>round(iferror((AVERAGE(Prelim!H69:K69)*MConfig!$D$15),)+iferror((average(Prelim!L69:O69)*MConfig!$D$16),)+iferror((average(Prelim!P69:S69)*MConfig!$D$17),),0)</f>
        <v>0</v>
      </c>
      <c r="H69" s="229">
        <f>round(sum(F69*MConfig!$E$13)+(G69*MConfig!$E$14),0)</f>
        <v>0</v>
      </c>
      <c r="I69" s="229" t="str">
        <f>  if(Prelim!T69="",,  (round(sum((Prelim!T69/Prelim!$T$19)*50)+50,0)))</f>
        <v/>
      </c>
      <c r="J69" s="230" t="str">
        <f>IF(I69="",,round(SUM((H69*MConfig!$F$12)+(I69*MConfig!$F$11)),0))</f>
        <v/>
      </c>
      <c r="K69" s="231" t="str">
        <f>IFNA(IF(Prelim!U69="DRP","DRP",vlookup(J69,MConfig!$B$25:$C$33,2)),"")</f>
        <v/>
      </c>
      <c r="L69" s="229">
        <f t="shared" si="2"/>
        <v>0</v>
      </c>
      <c r="M69" s="229">
        <f>round(iferror((AVERAGE(Midterm!H69:K69)*MConfig!$G$15),)+iferror((average(Midterm!L69:O69)*MConfig!$G$16),)+iferror((average(Midterm!P69:S69)*MConfig!$G$17),),0)</f>
        <v>0</v>
      </c>
      <c r="N69" s="232">
        <f>round(SUM(L69*MConfig!$H$13)+(M69*MConfig!$H$14),0)</f>
        <v>0</v>
      </c>
      <c r="O69" s="232" t="str">
        <f>IF(Midterm!T69="",, (round(sum((Midterm!T69/Midterm!$T$19)*50)+50,0)))</f>
        <v/>
      </c>
      <c r="P69" s="230" t="str">
        <f>IF(O69="",,round(SUM((N69*MConfig!$I$12)+(O69*MConfig!$I$11)),0))</f>
        <v/>
      </c>
      <c r="Q69" s="233" t="str">
        <f>IFNA(IF(Midterm!U69="DRP","DRP",vlookup(P69,MConfig!$B$25:$C$33,2)),"")</f>
        <v/>
      </c>
      <c r="R69" s="234">
        <f t="shared" si="3"/>
        <v>0</v>
      </c>
      <c r="S69" s="234">
        <f>round(iferror((AVERAGE(PreFinal!H69:K69)*MConfig!$J$15),)+iferror((average(PreFinal!L69:O69)*MConfig!$J$16),)+iferror((average(PreFinal!P69:S69)*MConfig!$J$17),)+((PreFinal!T69)*MConfig!$J$18),0)</f>
        <v>0</v>
      </c>
      <c r="T69" s="234">
        <f>ROUND(SUM(R69*MConfig!$K$13)+(S69*MConfig!$K$14),0)</f>
        <v>0</v>
      </c>
      <c r="U69" s="229" t="str">
        <f>IF(PreFinal!U69="",,(round(sum((PreFinal!U69/PreFinal!$U$19)*50)+50,0)))</f>
        <v/>
      </c>
      <c r="V69" s="230" t="str">
        <f t="shared" si="4"/>
        <v/>
      </c>
      <c r="W69" s="233" t="str">
        <f>IFNA(IF(PreFinal!V69="DRP","DRP",vlookup(V69,MConfig!$B$25:$C$33,2)),"")</f>
        <v/>
      </c>
      <c r="X69" s="216" t="str">
        <f>IF(Prelim!C69="",,(round((sum((Prelim!C69/Prelim!$C$19)*50)+50),0)))</f>
        <v/>
      </c>
      <c r="Y69" s="216" t="str">
        <f>IF(Prelim!D69="",,(round((sum((Prelim!D69/Prelim!$D$19)*50)+50),0)))</f>
        <v/>
      </c>
      <c r="Z69" s="216" t="str">
        <f>IF(Prelim!E69="",,round((sum((Prelim!E69/Prelim!$E$19)*50)+50),0))</f>
        <v/>
      </c>
      <c r="AA69" s="216" t="str">
        <f>IF(Prelim!F69="",,(round((sum((Prelim!F69/Prelim!$F$19)*50)+50),0)))</f>
        <v/>
      </c>
      <c r="AB69" s="216" t="str">
        <f>IF(Prelim!G69="",,(round((sum((Prelim!G69/Prelim!$G$19)*50)+50),0)))</f>
        <v/>
      </c>
      <c r="AC69" s="216" t="str">
        <f>IF(Midterm!C69="",,(round((sum((Midterm!C69/Midterm!$C$19)*50)+50),0)))</f>
        <v/>
      </c>
      <c r="AD69" s="216" t="str">
        <f>IF(Midterm!D69="",,(round((sum((Midterm!D69/Midterm!$D$19)*50)+50),0)))</f>
        <v/>
      </c>
      <c r="AE69" s="216" t="str">
        <f>IF(Midterm!E69="",,(round((sum((Midterm!E69/Midterm!$E$19)*50)+50),0)))</f>
        <v/>
      </c>
      <c r="AF69" s="216" t="str">
        <f>IF(Midterm!F69="",,(round((sum((Midterm!F69/Midterm!$F$19)*50)+50),0)))</f>
        <v/>
      </c>
      <c r="AG69" s="216" t="str">
        <f>IF(Midterm!G69="",,(round((sum((Midterm!G69/Midterm!$G$19)*50)+50),0)))</f>
        <v/>
      </c>
      <c r="AH69" s="216" t="str">
        <f>IF(PreFinal!C69="",,(round((sum((PreFinal!C69/PreFinal!$C$19)*50)+50),0)))</f>
        <v/>
      </c>
      <c r="AI69" s="216" t="str">
        <f>IF(PreFinal!D69="",,(round((sum((PreFinal!D69/PreFinal!$D$19)*50)+50),0)))</f>
        <v/>
      </c>
      <c r="AJ69" s="216" t="str">
        <f>IF(PreFinal!E69="",,(round((sum((PreFinal!E69/PreFinal!$E$19)*50)+50),0)))</f>
        <v/>
      </c>
      <c r="AK69" s="216" t="str">
        <f>IF(PreFinal!F69="",,(round((sum((PreFinal!F69/PreFinal!$F$19)*50)+50),0)))</f>
        <v/>
      </c>
      <c r="AL69" s="216" t="str">
        <f>IF(PreFinal!G69="",,(round((sum((PreFinal!G69/PreFinal!$G$19)*50)+50),0)))</f>
        <v/>
      </c>
      <c r="AM69" s="217"/>
      <c r="AN69" s="4"/>
    </row>
    <row r="70" ht="26.25" customHeight="1">
      <c r="A70" s="225"/>
      <c r="B70" s="225"/>
      <c r="C70" s="226">
        <v>51.0</v>
      </c>
      <c r="D70" s="227" t="str">
        <f>Prelim!$B70</f>
        <v/>
      </c>
      <c r="E70" s="228"/>
      <c r="F70" s="229">
        <f t="shared" si="1"/>
        <v>0</v>
      </c>
      <c r="G70" s="229">
        <f>round(iferror((AVERAGE(Prelim!H70:K70)*MConfig!$D$15),)+iferror((average(Prelim!L70:O70)*MConfig!$D$16),)+iferror((average(Prelim!P70:S70)*MConfig!$D$17),),0)</f>
        <v>0</v>
      </c>
      <c r="H70" s="229">
        <f>round(sum(F70*MConfig!$E$13)+(G70*MConfig!$E$14),0)</f>
        <v>0</v>
      </c>
      <c r="I70" s="229" t="str">
        <f>  if(Prelim!T70="",,  (round(sum((Prelim!T70/Prelim!$T$19)*50)+50,0)))</f>
        <v/>
      </c>
      <c r="J70" s="230" t="str">
        <f>IF(I70="",,round(SUM((H70*MConfig!$F$12)+(I70*MConfig!$F$11)),0))</f>
        <v/>
      </c>
      <c r="K70" s="231" t="str">
        <f>IFNA(IF(Prelim!U70="DRP","DRP",vlookup(J70,MConfig!$B$25:$C$33,2)),"")</f>
        <v/>
      </c>
      <c r="L70" s="229">
        <f t="shared" si="2"/>
        <v>0</v>
      </c>
      <c r="M70" s="229">
        <f>round(iferror((AVERAGE(Midterm!H70:K70)*MConfig!$G$15),)+iferror((average(Midterm!L70:O70)*MConfig!$G$16),)+iferror((average(Midterm!P70:S70)*MConfig!$G$17),),0)</f>
        <v>0</v>
      </c>
      <c r="N70" s="232">
        <f>round(SUM(L70*MConfig!$H$13)+(M70*MConfig!$H$14),0)</f>
        <v>0</v>
      </c>
      <c r="O70" s="232" t="str">
        <f>IF(Midterm!T70="",, (round(sum((Midterm!T70/Midterm!$T$19)*50)+50,0)))</f>
        <v/>
      </c>
      <c r="P70" s="230" t="str">
        <f>IF(O70="",,round(SUM((N70*MConfig!$I$12)+(O70*MConfig!$I$11)),0))</f>
        <v/>
      </c>
      <c r="Q70" s="233" t="str">
        <f>IFNA(IF(Midterm!U70="DRP","DRP",vlookup(P70,MConfig!$B$25:$C$33,2)),"")</f>
        <v/>
      </c>
      <c r="R70" s="234">
        <f t="shared" si="3"/>
        <v>0</v>
      </c>
      <c r="S70" s="234">
        <f>round(iferror((AVERAGE(PreFinal!H70:K70)*MConfig!$J$15),)+iferror((average(PreFinal!L70:O70)*MConfig!$J$16),)+iferror((average(PreFinal!P70:S70)*MConfig!$J$17),)+((PreFinal!T70)*MConfig!$J$18),0)</f>
        <v>0</v>
      </c>
      <c r="T70" s="234">
        <f>ROUND(SUM(R70*MConfig!$K$13)+(S70*MConfig!$K$14),0)</f>
        <v>0</v>
      </c>
      <c r="U70" s="229" t="str">
        <f>IF(PreFinal!U70="",,(round(sum((PreFinal!U70/PreFinal!$U$19)*50)+50,0)))</f>
        <v/>
      </c>
      <c r="V70" s="230" t="str">
        <f t="shared" si="4"/>
        <v/>
      </c>
      <c r="W70" s="233" t="str">
        <f>IFNA(IF(PreFinal!V70="DRP","DRP",vlookup(V70,MConfig!$B$25:$C$33,2)),"")</f>
        <v/>
      </c>
      <c r="X70" s="216" t="str">
        <f>IF(Prelim!C70="",,(round((sum((Prelim!C70/Prelim!$C$19)*50)+50),0)))</f>
        <v/>
      </c>
      <c r="Y70" s="216" t="str">
        <f>IF(Prelim!D70="",,(round((sum((Prelim!D70/Prelim!$D$19)*50)+50),0)))</f>
        <v/>
      </c>
      <c r="Z70" s="216" t="str">
        <f>IF(Prelim!E70="",,round((sum((Prelim!E70/Prelim!$E$19)*50)+50),0))</f>
        <v/>
      </c>
      <c r="AA70" s="216" t="str">
        <f>IF(Prelim!F70="",,(round((sum((Prelim!F70/Prelim!$F$19)*50)+50),0)))</f>
        <v/>
      </c>
      <c r="AB70" s="216" t="str">
        <f>IF(Prelim!G70="",,(round((sum((Prelim!G70/Prelim!$G$19)*50)+50),0)))</f>
        <v/>
      </c>
      <c r="AC70" s="216" t="str">
        <f>IF(Midterm!C70="",,(round((sum((Midterm!C70/Midterm!$C$19)*50)+50),0)))</f>
        <v/>
      </c>
      <c r="AD70" s="216" t="str">
        <f>IF(Midterm!D70="",,(round((sum((Midterm!D70/Midterm!$D$19)*50)+50),0)))</f>
        <v/>
      </c>
      <c r="AE70" s="216" t="str">
        <f>IF(Midterm!E70="",,(round((sum((Midterm!E70/Midterm!$E$19)*50)+50),0)))</f>
        <v/>
      </c>
      <c r="AF70" s="216" t="str">
        <f>IF(Midterm!F70="",,(round((sum((Midterm!F70/Midterm!$F$19)*50)+50),0)))</f>
        <v/>
      </c>
      <c r="AG70" s="216" t="str">
        <f>IF(Midterm!G70="",,(round((sum((Midterm!G70/Midterm!$G$19)*50)+50),0)))</f>
        <v/>
      </c>
      <c r="AH70" s="216" t="str">
        <f>IF(PreFinal!C70="",,(round((sum((PreFinal!C70/PreFinal!$C$19)*50)+50),0)))</f>
        <v/>
      </c>
      <c r="AI70" s="216" t="str">
        <f>IF(PreFinal!D70="",,(round((sum((PreFinal!D70/PreFinal!$D$19)*50)+50),0)))</f>
        <v/>
      </c>
      <c r="AJ70" s="216" t="str">
        <f>IF(PreFinal!E70="",,(round((sum((PreFinal!E70/PreFinal!$E$19)*50)+50),0)))</f>
        <v/>
      </c>
      <c r="AK70" s="216" t="str">
        <f>IF(PreFinal!F70="",,(round((sum((PreFinal!F70/PreFinal!$F$19)*50)+50),0)))</f>
        <v/>
      </c>
      <c r="AL70" s="216" t="str">
        <f>IF(PreFinal!G70="",,(round((sum((PreFinal!G70/PreFinal!$G$19)*50)+50),0)))</f>
        <v/>
      </c>
      <c r="AM70" s="217"/>
      <c r="AN70" s="4"/>
    </row>
    <row r="71" ht="26.25" customHeight="1">
      <c r="A71" s="225"/>
      <c r="B71" s="225"/>
      <c r="C71" s="226">
        <v>52.0</v>
      </c>
      <c r="D71" s="227" t="str">
        <f>Prelim!$B71</f>
        <v/>
      </c>
      <c r="E71" s="228"/>
      <c r="F71" s="229">
        <f t="shared" si="1"/>
        <v>0</v>
      </c>
      <c r="G71" s="229">
        <f>round(iferror((AVERAGE(Prelim!H71:K71)*MConfig!$D$15),)+iferror((average(Prelim!L71:O71)*MConfig!$D$16),)+iferror((average(Prelim!P71:S71)*MConfig!$D$17),),0)</f>
        <v>0</v>
      </c>
      <c r="H71" s="229">
        <f>round(sum(F71*MConfig!$E$13)+(G71*MConfig!$E$14),0)</f>
        <v>0</v>
      </c>
      <c r="I71" s="229" t="str">
        <f>  if(Prelim!T71="",,  (round(sum((Prelim!T71/Prelim!$T$19)*50)+50,0)))</f>
        <v/>
      </c>
      <c r="J71" s="230" t="str">
        <f>IF(I71="",,round(SUM((H71*MConfig!$F$12)+(I71*MConfig!$F$11)),0))</f>
        <v/>
      </c>
      <c r="K71" s="231" t="str">
        <f>IFNA(IF(Prelim!U71="DRP","DRP",vlookup(J71,MConfig!$B$25:$C$33,2)),"")</f>
        <v/>
      </c>
      <c r="L71" s="229">
        <f t="shared" si="2"/>
        <v>0</v>
      </c>
      <c r="M71" s="229">
        <f>round(iferror((AVERAGE(Midterm!H71:K71)*MConfig!$G$15),)+iferror((average(Midterm!L71:O71)*MConfig!$G$16),)+iferror((average(Midterm!P71:S71)*MConfig!$G$17),),0)</f>
        <v>0</v>
      </c>
      <c r="N71" s="232">
        <f>round(SUM(L71*MConfig!$H$13)+(M71*MConfig!$H$14),0)</f>
        <v>0</v>
      </c>
      <c r="O71" s="232" t="str">
        <f>IF(Midterm!T71="",, (round(sum((Midterm!T71/Midterm!$T$19)*50)+50,0)))</f>
        <v/>
      </c>
      <c r="P71" s="230" t="str">
        <f>IF(O71="",,round(SUM((N71*MConfig!$I$12)+(O71*MConfig!$I$11)),0))</f>
        <v/>
      </c>
      <c r="Q71" s="233" t="str">
        <f>IFNA(IF(Midterm!U71="DRP","DRP",vlookup(P71,MConfig!$B$25:$C$33,2)),"")</f>
        <v/>
      </c>
      <c r="R71" s="234">
        <f t="shared" si="3"/>
        <v>0</v>
      </c>
      <c r="S71" s="234">
        <f>round(iferror((AVERAGE(PreFinal!H71:K71)*MConfig!$J$15),)+iferror((average(PreFinal!L71:O71)*MConfig!$J$16),)+iferror((average(PreFinal!P71:S71)*MConfig!$J$17),)+((PreFinal!T71)*MConfig!$J$18),0)</f>
        <v>0</v>
      </c>
      <c r="T71" s="234">
        <f>ROUND(SUM(R71*MConfig!$K$13)+(S71*MConfig!$K$14),0)</f>
        <v>0</v>
      </c>
      <c r="U71" s="229" t="str">
        <f>IF(PreFinal!U71="",,(round(sum((PreFinal!U71/PreFinal!$U$19)*50)+50,0)))</f>
        <v/>
      </c>
      <c r="V71" s="230" t="str">
        <f t="shared" si="4"/>
        <v/>
      </c>
      <c r="W71" s="233" t="str">
        <f>IFNA(IF(PreFinal!V71="DRP","DRP",vlookup(V71,MConfig!$B$25:$C$33,2)),"")</f>
        <v/>
      </c>
      <c r="X71" s="216" t="str">
        <f>IF(Prelim!C71="",,(round((sum((Prelim!C71/Prelim!$C$19)*50)+50),0)))</f>
        <v/>
      </c>
      <c r="Y71" s="216" t="str">
        <f>IF(Prelim!D71="",,(round((sum((Prelim!D71/Prelim!$D$19)*50)+50),0)))</f>
        <v/>
      </c>
      <c r="Z71" s="216" t="str">
        <f>IF(Prelim!E71="",,round((sum((Prelim!E71/Prelim!$E$19)*50)+50),0))</f>
        <v/>
      </c>
      <c r="AA71" s="216" t="str">
        <f>IF(Prelim!F71="",,(round((sum((Prelim!F71/Prelim!$F$19)*50)+50),0)))</f>
        <v/>
      </c>
      <c r="AB71" s="216" t="str">
        <f>IF(Prelim!G71="",,(round((sum((Prelim!G71/Prelim!$G$19)*50)+50),0)))</f>
        <v/>
      </c>
      <c r="AC71" s="216" t="str">
        <f>IF(Midterm!C71="",,(round((sum((Midterm!C71/Midterm!$C$19)*50)+50),0)))</f>
        <v/>
      </c>
      <c r="AD71" s="216" t="str">
        <f>IF(Midterm!D71="",,(round((sum((Midterm!D71/Midterm!$D$19)*50)+50),0)))</f>
        <v/>
      </c>
      <c r="AE71" s="216" t="str">
        <f>IF(Midterm!E71="",,(round((sum((Midterm!E71/Midterm!$E$19)*50)+50),0)))</f>
        <v/>
      </c>
      <c r="AF71" s="216" t="str">
        <f>IF(Midterm!F71="",,(round((sum((Midterm!F71/Midterm!$F$19)*50)+50),0)))</f>
        <v/>
      </c>
      <c r="AG71" s="216" t="str">
        <f>IF(Midterm!G71="",,(round((sum((Midterm!G71/Midterm!$G$19)*50)+50),0)))</f>
        <v/>
      </c>
      <c r="AH71" s="216" t="str">
        <f>IF(PreFinal!C71="",,(round((sum((PreFinal!C71/PreFinal!$C$19)*50)+50),0)))</f>
        <v/>
      </c>
      <c r="AI71" s="216" t="str">
        <f>IF(PreFinal!D71="",,(round((sum((PreFinal!D71/PreFinal!$D$19)*50)+50),0)))</f>
        <v/>
      </c>
      <c r="AJ71" s="216" t="str">
        <f>IF(PreFinal!E71="",,(round((sum((PreFinal!E71/PreFinal!$E$19)*50)+50),0)))</f>
        <v/>
      </c>
      <c r="AK71" s="216" t="str">
        <f>IF(PreFinal!F71="",,(round((sum((PreFinal!F71/PreFinal!$F$19)*50)+50),0)))</f>
        <v/>
      </c>
      <c r="AL71" s="216" t="str">
        <f>IF(PreFinal!G71="",,(round((sum((PreFinal!G71/PreFinal!$G$19)*50)+50),0)))</f>
        <v/>
      </c>
      <c r="AM71" s="217"/>
      <c r="AN71" s="4"/>
    </row>
    <row r="72" ht="26.25" customHeight="1">
      <c r="A72" s="225"/>
      <c r="B72" s="225"/>
      <c r="C72" s="226">
        <v>53.0</v>
      </c>
      <c r="D72" s="227" t="str">
        <f>Prelim!$B72</f>
        <v/>
      </c>
      <c r="E72" s="228"/>
      <c r="F72" s="229">
        <f t="shared" si="1"/>
        <v>0</v>
      </c>
      <c r="G72" s="229">
        <f>round(iferror((AVERAGE(Prelim!H72:K72)*MConfig!$D$15),)+iferror((average(Prelim!L72:O72)*MConfig!$D$16),)+iferror((average(Prelim!P72:S72)*MConfig!$D$17),),0)</f>
        <v>0</v>
      </c>
      <c r="H72" s="229">
        <f>round(sum(F72*MConfig!$E$13)+(G72*MConfig!$E$14),0)</f>
        <v>0</v>
      </c>
      <c r="I72" s="229" t="str">
        <f>  if(Prelim!T72="",,  (round(sum((Prelim!T72/Prelim!$T$19)*50)+50,0)))</f>
        <v/>
      </c>
      <c r="J72" s="230" t="str">
        <f>IF(I72="",,round(SUM((H72*MConfig!$F$12)+(I72*MConfig!$F$11)),0))</f>
        <v/>
      </c>
      <c r="K72" s="231" t="str">
        <f>IFNA(IF(Prelim!U72="DRP","DRP",vlookup(J72,MConfig!$B$25:$C$33,2)),"")</f>
        <v/>
      </c>
      <c r="L72" s="229">
        <f t="shared" si="2"/>
        <v>0</v>
      </c>
      <c r="M72" s="229">
        <f>round(iferror((AVERAGE(Midterm!H72:K72)*MConfig!$G$15),)+iferror((average(Midterm!L72:O72)*MConfig!$G$16),)+iferror((average(Midterm!P72:S72)*MConfig!$G$17),),0)</f>
        <v>0</v>
      </c>
      <c r="N72" s="232">
        <f>round(SUM(L72*MConfig!$H$13)+(M72*MConfig!$H$14),0)</f>
        <v>0</v>
      </c>
      <c r="O72" s="232" t="str">
        <f>IF(Midterm!T72="",, (round(sum((Midterm!T72/Midterm!$T$19)*50)+50,0)))</f>
        <v/>
      </c>
      <c r="P72" s="230" t="str">
        <f>IF(O72="",,round(SUM((N72*MConfig!$I$12)+(O72*MConfig!$I$11)),0))</f>
        <v/>
      </c>
      <c r="Q72" s="233" t="str">
        <f>IFNA(IF(Midterm!U72="DRP","DRP",vlookup(P72,MConfig!$B$25:$C$33,2)),"")</f>
        <v/>
      </c>
      <c r="R72" s="234">
        <f t="shared" si="3"/>
        <v>0</v>
      </c>
      <c r="S72" s="234">
        <f>round(iferror((AVERAGE(PreFinal!H72:K72)*MConfig!$J$15),)+iferror((average(PreFinal!L72:O72)*MConfig!$J$16),)+iferror((average(PreFinal!P72:S72)*MConfig!$J$17),)+((PreFinal!T72)*MConfig!$J$18),0)</f>
        <v>0</v>
      </c>
      <c r="T72" s="234">
        <f>ROUND(SUM(R72*MConfig!$K$13)+(S72*MConfig!$K$14),0)</f>
        <v>0</v>
      </c>
      <c r="U72" s="229" t="str">
        <f>IF(PreFinal!U72="",,(round(sum((PreFinal!U72/PreFinal!$U$19)*50)+50,0)))</f>
        <v/>
      </c>
      <c r="V72" s="230" t="str">
        <f t="shared" si="4"/>
        <v/>
      </c>
      <c r="W72" s="233" t="str">
        <f>IFNA(IF(PreFinal!V72="DRP","DRP",vlookup(V72,MConfig!$B$25:$C$33,2)),"")</f>
        <v/>
      </c>
      <c r="X72" s="216" t="str">
        <f>IF(Prelim!C72="",,(round((sum((Prelim!C72/Prelim!$C$19)*50)+50),0)))</f>
        <v/>
      </c>
      <c r="Y72" s="216" t="str">
        <f>IF(Prelim!D72="",,(round((sum((Prelim!D72/Prelim!$D$19)*50)+50),0)))</f>
        <v/>
      </c>
      <c r="Z72" s="216" t="str">
        <f>IF(Prelim!E72="",,round((sum((Prelim!E72/Prelim!$E$19)*50)+50),0))</f>
        <v/>
      </c>
      <c r="AA72" s="216" t="str">
        <f>IF(Prelim!F72="",,(round((sum((Prelim!F72/Prelim!$F$19)*50)+50),0)))</f>
        <v/>
      </c>
      <c r="AB72" s="216" t="str">
        <f>IF(Prelim!G72="",,(round((sum((Prelim!G72/Prelim!$G$19)*50)+50),0)))</f>
        <v/>
      </c>
      <c r="AC72" s="216" t="str">
        <f>IF(Midterm!C72="",,(round((sum((Midterm!C72/Midterm!$C$19)*50)+50),0)))</f>
        <v/>
      </c>
      <c r="AD72" s="216" t="str">
        <f>IF(Midterm!D72="",,(round((sum((Midterm!D72/Midterm!$D$19)*50)+50),0)))</f>
        <v/>
      </c>
      <c r="AE72" s="216" t="str">
        <f>IF(Midterm!E72="",,(round((sum((Midterm!E72/Midterm!$E$19)*50)+50),0)))</f>
        <v/>
      </c>
      <c r="AF72" s="216" t="str">
        <f>IF(Midterm!F72="",,(round((sum((Midterm!F72/Midterm!$F$19)*50)+50),0)))</f>
        <v/>
      </c>
      <c r="AG72" s="216" t="str">
        <f>IF(Midterm!G72="",,(round((sum((Midterm!G72/Midterm!$G$19)*50)+50),0)))</f>
        <v/>
      </c>
      <c r="AH72" s="216" t="str">
        <f>IF(PreFinal!C72="",,(round((sum((PreFinal!C72/PreFinal!$C$19)*50)+50),0)))</f>
        <v/>
      </c>
      <c r="AI72" s="216" t="str">
        <f>IF(PreFinal!D72="",,(round((sum((PreFinal!D72/PreFinal!$D$19)*50)+50),0)))</f>
        <v/>
      </c>
      <c r="AJ72" s="216" t="str">
        <f>IF(PreFinal!E72="",,(round((sum((PreFinal!E72/PreFinal!$E$19)*50)+50),0)))</f>
        <v/>
      </c>
      <c r="AK72" s="216" t="str">
        <f>IF(PreFinal!F72="",,(round((sum((PreFinal!F72/PreFinal!$F$19)*50)+50),0)))</f>
        <v/>
      </c>
      <c r="AL72" s="216" t="str">
        <f>IF(PreFinal!G72="",,(round((sum((PreFinal!G72/PreFinal!$G$19)*50)+50),0)))</f>
        <v/>
      </c>
      <c r="AM72" s="217"/>
      <c r="AN72" s="4"/>
    </row>
    <row r="73" ht="26.25" customHeight="1">
      <c r="A73" s="225"/>
      <c r="B73" s="225"/>
      <c r="C73" s="226">
        <v>54.0</v>
      </c>
      <c r="D73" s="227" t="str">
        <f>Prelim!$B73</f>
        <v/>
      </c>
      <c r="E73" s="228"/>
      <c r="F73" s="229">
        <f t="shared" si="1"/>
        <v>0</v>
      </c>
      <c r="G73" s="229">
        <f>round(iferror((AVERAGE(Prelim!H73:K73)*MConfig!$D$15),)+iferror((average(Prelim!L73:O73)*MConfig!$D$16),)+iferror((average(Prelim!P73:S73)*MConfig!$D$17),),0)</f>
        <v>0</v>
      </c>
      <c r="H73" s="229">
        <f>round(sum(F73*MConfig!$E$13)+(G73*MConfig!$E$14),0)</f>
        <v>0</v>
      </c>
      <c r="I73" s="229" t="str">
        <f>  if(Prelim!T73="",,  (round(sum((Prelim!T73/Prelim!$T$19)*50)+50,0)))</f>
        <v/>
      </c>
      <c r="J73" s="230" t="str">
        <f>IF(I73="",,round(SUM((H73*MConfig!$F$12)+(I73*MConfig!$F$11)),0))</f>
        <v/>
      </c>
      <c r="K73" s="231" t="str">
        <f>IFNA(IF(Prelim!U73="DRP","DRP",vlookup(J73,MConfig!$B$25:$C$33,2)),"")</f>
        <v/>
      </c>
      <c r="L73" s="229">
        <f t="shared" si="2"/>
        <v>0</v>
      </c>
      <c r="M73" s="229">
        <f>round(iferror((AVERAGE(Midterm!H73:K73)*MConfig!$G$15),)+iferror((average(Midterm!L73:O73)*MConfig!$G$16),)+iferror((average(Midterm!P73:S73)*MConfig!$G$17),),0)</f>
        <v>0</v>
      </c>
      <c r="N73" s="232">
        <f>round(SUM(L73*MConfig!$H$13)+(M73*MConfig!$H$14),0)</f>
        <v>0</v>
      </c>
      <c r="O73" s="232" t="str">
        <f>IF(Midterm!T73="",, (round(sum((Midterm!T73/Midterm!$T$19)*50)+50,0)))</f>
        <v/>
      </c>
      <c r="P73" s="230" t="str">
        <f>IF(O73="",,round(SUM((N73*MConfig!$I$12)+(O73*MConfig!$I$11)),0))</f>
        <v/>
      </c>
      <c r="Q73" s="233" t="str">
        <f>IFNA(IF(Midterm!U73="DRP","DRP",vlookup(P73,MConfig!$B$25:$C$33,2)),"")</f>
        <v/>
      </c>
      <c r="R73" s="234">
        <f t="shared" si="3"/>
        <v>0</v>
      </c>
      <c r="S73" s="234">
        <f>round(iferror((AVERAGE(PreFinal!H73:K73)*MConfig!$J$15),)+iferror((average(PreFinal!L73:O73)*MConfig!$J$16),)+iferror((average(PreFinal!P73:S73)*MConfig!$J$17),)+((PreFinal!T73)*MConfig!$J$18),0)</f>
        <v>0</v>
      </c>
      <c r="T73" s="234">
        <f>ROUND(SUM(R73*MConfig!$K$13)+(S73*MConfig!$K$14),0)</f>
        <v>0</v>
      </c>
      <c r="U73" s="229" t="str">
        <f>IF(PreFinal!U73="",,(round(sum((PreFinal!U73/PreFinal!$U$19)*50)+50,0)))</f>
        <v/>
      </c>
      <c r="V73" s="230" t="str">
        <f t="shared" si="4"/>
        <v/>
      </c>
      <c r="W73" s="233" t="str">
        <f>IFNA(IF(PreFinal!V73="DRP","DRP",vlookup(V73,MConfig!$B$25:$C$33,2)),"")</f>
        <v/>
      </c>
      <c r="X73" s="216" t="str">
        <f>IF(Prelim!C73="",,(round((sum((Prelim!C73/Prelim!$C$19)*50)+50),0)))</f>
        <v/>
      </c>
      <c r="Y73" s="216" t="str">
        <f>IF(Prelim!D73="",,(round((sum((Prelim!D73/Prelim!$D$19)*50)+50),0)))</f>
        <v/>
      </c>
      <c r="Z73" s="216" t="str">
        <f>IF(Prelim!E73="",,round((sum((Prelim!E73/Prelim!$E$19)*50)+50),0))</f>
        <v/>
      </c>
      <c r="AA73" s="216" t="str">
        <f>IF(Prelim!F73="",,(round((sum((Prelim!F73/Prelim!$F$19)*50)+50),0)))</f>
        <v/>
      </c>
      <c r="AB73" s="216" t="str">
        <f>IF(Prelim!G73="",,(round((sum((Prelim!G73/Prelim!$G$19)*50)+50),0)))</f>
        <v/>
      </c>
      <c r="AC73" s="216" t="str">
        <f>IF(Midterm!C73="",,(round((sum((Midterm!C73/Midterm!$C$19)*50)+50),0)))</f>
        <v/>
      </c>
      <c r="AD73" s="216" t="str">
        <f>IF(Midterm!D73="",,(round((sum((Midterm!D73/Midterm!$D$19)*50)+50),0)))</f>
        <v/>
      </c>
      <c r="AE73" s="216" t="str">
        <f>IF(Midterm!E73="",,(round((sum((Midterm!E73/Midterm!$E$19)*50)+50),0)))</f>
        <v/>
      </c>
      <c r="AF73" s="216" t="str">
        <f>IF(Midterm!F73="",,(round((sum((Midterm!F73/Midterm!$F$19)*50)+50),0)))</f>
        <v/>
      </c>
      <c r="AG73" s="216" t="str">
        <f>IF(Midterm!G73="",,(round((sum((Midterm!G73/Midterm!$G$19)*50)+50),0)))</f>
        <v/>
      </c>
      <c r="AH73" s="216" t="str">
        <f>IF(PreFinal!C73="",,(round((sum((PreFinal!C73/PreFinal!$C$19)*50)+50),0)))</f>
        <v/>
      </c>
      <c r="AI73" s="216" t="str">
        <f>IF(PreFinal!D73="",,(round((sum((PreFinal!D73/PreFinal!$D$19)*50)+50),0)))</f>
        <v/>
      </c>
      <c r="AJ73" s="216" t="str">
        <f>IF(PreFinal!E73="",,(round((sum((PreFinal!E73/PreFinal!$E$19)*50)+50),0)))</f>
        <v/>
      </c>
      <c r="AK73" s="216" t="str">
        <f>IF(PreFinal!F73="",,(round((sum((PreFinal!F73/PreFinal!$F$19)*50)+50),0)))</f>
        <v/>
      </c>
      <c r="AL73" s="216" t="str">
        <f>IF(PreFinal!G73="",,(round((sum((PreFinal!G73/PreFinal!$G$19)*50)+50),0)))</f>
        <v/>
      </c>
      <c r="AM73" s="217"/>
      <c r="AN73" s="4"/>
    </row>
    <row r="74" ht="26.25" customHeight="1">
      <c r="A74" s="225"/>
      <c r="B74" s="225"/>
      <c r="C74" s="226">
        <v>55.0</v>
      </c>
      <c r="D74" s="227" t="str">
        <f>Prelim!$B74</f>
        <v/>
      </c>
      <c r="E74" s="228"/>
      <c r="F74" s="229">
        <f t="shared" si="1"/>
        <v>0</v>
      </c>
      <c r="G74" s="229">
        <f>round(iferror((AVERAGE(Prelim!H74:K74)*MConfig!$D$15),)+iferror((average(Prelim!L74:O74)*MConfig!$D$16),)+iferror((average(Prelim!P74:S74)*MConfig!$D$17),),0)</f>
        <v>0</v>
      </c>
      <c r="H74" s="229">
        <f>round(sum(F74*MConfig!$E$13)+(G74*MConfig!$E$14),0)</f>
        <v>0</v>
      </c>
      <c r="I74" s="229" t="str">
        <f>  if(Prelim!T74="",,  (round(sum((Prelim!T74/Prelim!$T$19)*50)+50,0)))</f>
        <v/>
      </c>
      <c r="J74" s="230" t="str">
        <f>IF(I74="",,round(SUM((H74*MConfig!$F$12)+(I74*MConfig!$F$11)),0))</f>
        <v/>
      </c>
      <c r="K74" s="231" t="str">
        <f>IFNA(IF(Prelim!U74="DRP","DRP",vlookup(J74,MConfig!$B$25:$C$33,2)),"")</f>
        <v/>
      </c>
      <c r="L74" s="229">
        <f t="shared" si="2"/>
        <v>0</v>
      </c>
      <c r="M74" s="229">
        <f>round(iferror((AVERAGE(Midterm!H74:K74)*MConfig!$G$15),)+iferror((average(Midterm!L74:O74)*MConfig!$G$16),)+iferror((average(Midterm!P74:S74)*MConfig!$G$17),),0)</f>
        <v>0</v>
      </c>
      <c r="N74" s="232">
        <f>round(SUM(L74*MConfig!$H$13)+(M74*MConfig!$H$14),0)</f>
        <v>0</v>
      </c>
      <c r="O74" s="232" t="str">
        <f>IF(Midterm!T74="",, (round(sum((Midterm!T74/Midterm!$T$19)*50)+50,0)))</f>
        <v/>
      </c>
      <c r="P74" s="230" t="str">
        <f>IF(O74="",,round(SUM((N74*MConfig!$I$12)+(O74*MConfig!$I$11)),0))</f>
        <v/>
      </c>
      <c r="Q74" s="233" t="str">
        <f>IFNA(IF(Midterm!U74="DRP","DRP",vlookup(P74,MConfig!$B$25:$C$33,2)),"")</f>
        <v/>
      </c>
      <c r="R74" s="234">
        <f t="shared" si="3"/>
        <v>0</v>
      </c>
      <c r="S74" s="234">
        <f>round(iferror((AVERAGE(PreFinal!H74:K74)*MConfig!$J$15),)+iferror((average(PreFinal!L74:O74)*MConfig!$J$16),)+iferror((average(PreFinal!P74:S74)*MConfig!$J$17),)+((PreFinal!T74)*MConfig!$J$18),0)</f>
        <v>0</v>
      </c>
      <c r="T74" s="234">
        <f>ROUND(SUM(R74*MConfig!$K$13)+(S74*MConfig!$K$14),0)</f>
        <v>0</v>
      </c>
      <c r="U74" s="229" t="str">
        <f>IF(PreFinal!U74="",,(round(sum((PreFinal!U74/PreFinal!$U$19)*50)+50,0)))</f>
        <v/>
      </c>
      <c r="V74" s="230" t="str">
        <f t="shared" si="4"/>
        <v/>
      </c>
      <c r="W74" s="233" t="str">
        <f>IFNA(IF(PreFinal!V74="DRP","DRP",vlookup(V74,MConfig!$B$25:$C$33,2)),"")</f>
        <v/>
      </c>
      <c r="X74" s="216" t="str">
        <f>IF(Prelim!C74="",,(round((sum((Prelim!C74/Prelim!$C$19)*50)+50),0)))</f>
        <v/>
      </c>
      <c r="Y74" s="216" t="str">
        <f>IF(Prelim!D74="",,(round((sum((Prelim!D74/Prelim!$D$19)*50)+50),0)))</f>
        <v/>
      </c>
      <c r="Z74" s="216" t="str">
        <f>IF(Prelim!E74="",,round((sum((Prelim!E74/Prelim!$E$19)*50)+50),0))</f>
        <v/>
      </c>
      <c r="AA74" s="216" t="str">
        <f>IF(Prelim!F74="",,(round((sum((Prelim!F74/Prelim!$F$19)*50)+50),0)))</f>
        <v/>
      </c>
      <c r="AB74" s="216" t="str">
        <f>IF(Prelim!G74="",,(round((sum((Prelim!G74/Prelim!$G$19)*50)+50),0)))</f>
        <v/>
      </c>
      <c r="AC74" s="216" t="str">
        <f>IF(Midterm!C74="",,(round((sum((Midterm!C74/Midterm!$C$19)*50)+50),0)))</f>
        <v/>
      </c>
      <c r="AD74" s="216" t="str">
        <f>IF(Midterm!D74="",,(round((sum((Midterm!D74/Midterm!$D$19)*50)+50),0)))</f>
        <v/>
      </c>
      <c r="AE74" s="216" t="str">
        <f>IF(Midterm!E74="",,(round((sum((Midterm!E74/Midterm!$E$19)*50)+50),0)))</f>
        <v/>
      </c>
      <c r="AF74" s="216" t="str">
        <f>IF(Midterm!F74="",,(round((sum((Midterm!F74/Midterm!$F$19)*50)+50),0)))</f>
        <v/>
      </c>
      <c r="AG74" s="216" t="str">
        <f>IF(Midterm!G74="",,(round((sum((Midterm!G74/Midterm!$G$19)*50)+50),0)))</f>
        <v/>
      </c>
      <c r="AH74" s="216" t="str">
        <f>IF(PreFinal!C74="",,(round((sum((PreFinal!C74/PreFinal!$C$19)*50)+50),0)))</f>
        <v/>
      </c>
      <c r="AI74" s="216" t="str">
        <f>IF(PreFinal!D74="",,(round((sum((PreFinal!D74/PreFinal!$D$19)*50)+50),0)))</f>
        <v/>
      </c>
      <c r="AJ74" s="216" t="str">
        <f>IF(PreFinal!E74="",,(round((sum((PreFinal!E74/PreFinal!$E$19)*50)+50),0)))</f>
        <v/>
      </c>
      <c r="AK74" s="216" t="str">
        <f>IF(PreFinal!F74="",,(round((sum((PreFinal!F74/PreFinal!$F$19)*50)+50),0)))</f>
        <v/>
      </c>
      <c r="AL74" s="216" t="str">
        <f>IF(PreFinal!G74="",,(round((sum((PreFinal!G74/PreFinal!$G$19)*50)+50),0)))</f>
        <v/>
      </c>
      <c r="AM74" s="217"/>
      <c r="AN74" s="4"/>
    </row>
    <row r="75" ht="15.75" customHeight="1">
      <c r="A75" s="4"/>
      <c r="B75" s="4"/>
      <c r="C75" s="12"/>
      <c r="D75" s="4"/>
      <c r="E75" s="4"/>
      <c r="F75" s="4"/>
      <c r="G75" s="4"/>
      <c r="H75" s="4"/>
      <c r="I75" s="237"/>
      <c r="J75" s="238"/>
      <c r="K75" s="238"/>
      <c r="L75" s="239"/>
      <c r="M75" s="239"/>
      <c r="N75" s="239"/>
      <c r="O75" s="240"/>
      <c r="P75" s="238"/>
      <c r="Q75" s="241"/>
      <c r="R75" s="239"/>
      <c r="S75" s="239"/>
      <c r="T75" s="239"/>
      <c r="U75" s="240"/>
      <c r="V75" s="238"/>
      <c r="W75" s="242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4"/>
      <c r="AN75" s="4"/>
    </row>
    <row r="76" ht="15.75" customHeight="1">
      <c r="A76" s="4"/>
      <c r="B76" s="4"/>
      <c r="C76" s="12"/>
      <c r="D76" s="4"/>
      <c r="E76" s="4"/>
      <c r="F76" s="4"/>
      <c r="G76" s="4"/>
      <c r="H76" s="4"/>
      <c r="I76" s="4"/>
      <c r="J76" s="238"/>
      <c r="K76" s="238"/>
      <c r="L76" s="239"/>
      <c r="M76" s="239"/>
      <c r="N76" s="239"/>
      <c r="O76" s="240"/>
      <c r="P76" s="238"/>
      <c r="Q76" s="241"/>
      <c r="R76" s="239"/>
      <c r="S76" s="239"/>
      <c r="T76" s="239"/>
      <c r="U76" s="240"/>
      <c r="V76" s="238"/>
      <c r="W76" s="242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4"/>
      <c r="AN76" s="4"/>
    </row>
    <row r="77" ht="15.75" customHeight="1">
      <c r="A77" s="243"/>
      <c r="B77" s="243"/>
      <c r="C77" s="244"/>
      <c r="D77" s="245"/>
      <c r="E77" s="245"/>
      <c r="F77" s="245"/>
      <c r="G77" s="246"/>
      <c r="H77" s="246"/>
      <c r="I77" s="247"/>
      <c r="J77" s="238"/>
      <c r="K77" s="238"/>
      <c r="L77" s="239"/>
      <c r="M77" s="239"/>
      <c r="N77" s="239"/>
      <c r="O77" s="240"/>
      <c r="P77" s="238"/>
      <c r="Q77" s="241"/>
      <c r="R77" s="239"/>
      <c r="S77" s="239"/>
      <c r="T77" s="239"/>
      <c r="U77" s="240"/>
      <c r="V77" s="238"/>
      <c r="W77" s="242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4"/>
      <c r="AN77" s="4"/>
    </row>
    <row r="78" ht="15.75" customHeight="1">
      <c r="A78" s="4"/>
      <c r="B78" s="4"/>
      <c r="C78" s="12"/>
      <c r="D78" s="4"/>
      <c r="E78" s="4"/>
      <c r="F78" s="4"/>
      <c r="G78" s="4"/>
      <c r="H78" s="4"/>
      <c r="I78" s="237"/>
      <c r="J78" s="238"/>
      <c r="K78" s="238"/>
      <c r="L78" s="239"/>
      <c r="M78" s="239"/>
      <c r="N78" s="239"/>
      <c r="O78" s="240"/>
      <c r="P78" s="238"/>
      <c r="Q78" s="241"/>
      <c r="R78" s="239"/>
      <c r="S78" s="239"/>
      <c r="T78" s="239"/>
      <c r="U78" s="240"/>
      <c r="V78" s="238"/>
      <c r="W78" s="242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4"/>
      <c r="AN78" s="4"/>
    </row>
    <row r="79" ht="15.75" customHeight="1">
      <c r="A79" s="4"/>
      <c r="B79" s="4"/>
      <c r="C79" s="12"/>
      <c r="D79" s="4"/>
      <c r="E79" s="4"/>
      <c r="F79" s="4"/>
      <c r="G79" s="4"/>
      <c r="H79" s="4"/>
      <c r="I79" s="4"/>
      <c r="J79" s="238"/>
      <c r="K79" s="238"/>
      <c r="L79" s="239"/>
      <c r="M79" s="239"/>
      <c r="N79" s="239"/>
      <c r="O79" s="240"/>
      <c r="P79" s="238"/>
      <c r="Q79" s="241"/>
      <c r="R79" s="239"/>
      <c r="S79" s="239"/>
      <c r="T79" s="239"/>
      <c r="U79" s="240"/>
      <c r="V79" s="238"/>
      <c r="W79" s="242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4"/>
      <c r="AN79" s="4"/>
    </row>
    <row r="80" ht="15.75" customHeight="1">
      <c r="A80" s="4"/>
      <c r="B80" s="4"/>
      <c r="C80" s="12"/>
      <c r="D80" s="4"/>
      <c r="E80" s="4"/>
      <c r="F80" s="4"/>
      <c r="G80" s="4"/>
      <c r="H80" s="4"/>
      <c r="I80" s="4"/>
      <c r="J80" s="238"/>
      <c r="K80" s="238"/>
      <c r="L80" s="239"/>
      <c r="M80" s="239"/>
      <c r="N80" s="239"/>
      <c r="O80" s="240"/>
      <c r="P80" s="238"/>
      <c r="Q80" s="241"/>
      <c r="R80" s="239"/>
      <c r="S80" s="239"/>
      <c r="T80" s="239"/>
      <c r="U80" s="240"/>
      <c r="V80" s="238"/>
      <c r="W80" s="242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4"/>
      <c r="AN80" s="4"/>
    </row>
    <row r="81" ht="15.75" customHeight="1">
      <c r="A81" s="4"/>
      <c r="B81" s="4"/>
      <c r="C81" s="12"/>
      <c r="D81" s="4"/>
      <c r="E81" s="4"/>
      <c r="F81" s="4"/>
      <c r="G81" s="4"/>
      <c r="H81" s="4"/>
      <c r="I81" s="237"/>
      <c r="J81" s="238"/>
      <c r="K81" s="238"/>
      <c r="L81" s="239"/>
      <c r="M81" s="239"/>
      <c r="N81" s="239"/>
      <c r="O81" s="240"/>
      <c r="P81" s="238"/>
      <c r="Q81" s="241"/>
      <c r="R81" s="239"/>
      <c r="S81" s="239"/>
      <c r="T81" s="239"/>
      <c r="U81" s="240"/>
      <c r="V81" s="238"/>
      <c r="W81" s="242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4"/>
      <c r="AN81" s="4"/>
    </row>
    <row r="82" ht="15.75" customHeight="1">
      <c r="A82" s="4"/>
      <c r="B82" s="4"/>
      <c r="C82" s="12"/>
      <c r="D82" s="4"/>
      <c r="E82" s="4"/>
      <c r="F82" s="4"/>
      <c r="G82" s="4"/>
      <c r="H82" s="4"/>
      <c r="I82" s="237"/>
      <c r="J82" s="238"/>
      <c r="K82" s="238"/>
      <c r="L82" s="239"/>
      <c r="M82" s="239"/>
      <c r="N82" s="239"/>
      <c r="O82" s="240"/>
      <c r="P82" s="238"/>
      <c r="Q82" s="241"/>
      <c r="R82" s="239"/>
      <c r="S82" s="239"/>
      <c r="T82" s="239"/>
      <c r="U82" s="240"/>
      <c r="V82" s="238"/>
      <c r="W82" s="242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4"/>
      <c r="AN82" s="4"/>
    </row>
    <row r="83" ht="15.75" customHeight="1">
      <c r="A83" s="4"/>
      <c r="B83" s="4"/>
      <c r="C83" s="12"/>
      <c r="D83" s="4"/>
      <c r="E83" s="4"/>
      <c r="F83" s="4"/>
      <c r="G83" s="4"/>
      <c r="H83" s="4"/>
      <c r="I83" s="237"/>
      <c r="J83" s="238"/>
      <c r="K83" s="238"/>
      <c r="L83" s="239"/>
      <c r="M83" s="239"/>
      <c r="N83" s="239"/>
      <c r="O83" s="240"/>
      <c r="P83" s="238"/>
      <c r="Q83" s="241"/>
      <c r="R83" s="239"/>
      <c r="S83" s="239"/>
      <c r="T83" s="239"/>
      <c r="U83" s="240"/>
      <c r="V83" s="238"/>
      <c r="W83" s="242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4"/>
      <c r="AN83" s="4"/>
    </row>
    <row r="84" ht="15.75" customHeight="1">
      <c r="A84" s="4"/>
      <c r="B84" s="4"/>
      <c r="C84" s="12"/>
      <c r="D84" s="4"/>
      <c r="E84" s="4"/>
      <c r="F84" s="4"/>
      <c r="G84" s="4"/>
      <c r="H84" s="4"/>
      <c r="I84" s="237"/>
      <c r="J84" s="238"/>
      <c r="K84" s="238"/>
      <c r="L84" s="239"/>
      <c r="M84" s="239"/>
      <c r="N84" s="239"/>
      <c r="O84" s="240"/>
      <c r="P84" s="238"/>
      <c r="Q84" s="241"/>
      <c r="R84" s="239"/>
      <c r="S84" s="239"/>
      <c r="T84" s="239"/>
      <c r="U84" s="240"/>
      <c r="V84" s="238"/>
      <c r="W84" s="242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4"/>
      <c r="AN84" s="4"/>
    </row>
    <row r="85" ht="15.75" customHeight="1">
      <c r="A85" s="4"/>
      <c r="B85" s="4"/>
      <c r="C85" s="12"/>
      <c r="D85" s="4"/>
      <c r="E85" s="4"/>
      <c r="F85" s="4"/>
      <c r="G85" s="4"/>
      <c r="H85" s="4"/>
      <c r="I85" s="237"/>
      <c r="J85" s="238"/>
      <c r="K85" s="238"/>
      <c r="L85" s="239"/>
      <c r="M85" s="239"/>
      <c r="N85" s="239"/>
      <c r="O85" s="240"/>
      <c r="P85" s="238"/>
      <c r="Q85" s="241"/>
      <c r="R85" s="239"/>
      <c r="S85" s="239"/>
      <c r="T85" s="239"/>
      <c r="U85" s="240"/>
      <c r="V85" s="238"/>
      <c r="W85" s="242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4"/>
      <c r="AN85" s="4"/>
    </row>
    <row r="86" ht="15.75" customHeight="1">
      <c r="A86" s="4"/>
      <c r="B86" s="4"/>
      <c r="C86" s="12"/>
      <c r="D86" s="4"/>
      <c r="E86" s="4"/>
      <c r="F86" s="4"/>
      <c r="G86" s="4"/>
      <c r="H86" s="4"/>
      <c r="I86" s="237"/>
      <c r="J86" s="238"/>
      <c r="K86" s="238"/>
      <c r="L86" s="239"/>
      <c r="M86" s="239"/>
      <c r="N86" s="239"/>
      <c r="O86" s="240"/>
      <c r="P86" s="238"/>
      <c r="Q86" s="241"/>
      <c r="R86" s="239"/>
      <c r="S86" s="239"/>
      <c r="T86" s="239"/>
      <c r="U86" s="240"/>
      <c r="V86" s="238"/>
      <c r="W86" s="242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4"/>
      <c r="AN86" s="4"/>
    </row>
    <row r="87" ht="15.75" customHeight="1">
      <c r="A87" s="4"/>
      <c r="B87" s="4"/>
      <c r="C87" s="12"/>
      <c r="D87" s="4"/>
      <c r="E87" s="4"/>
      <c r="F87" s="4"/>
      <c r="G87" s="4"/>
      <c r="H87" s="4"/>
      <c r="I87" s="237"/>
      <c r="J87" s="238"/>
      <c r="K87" s="238"/>
      <c r="L87" s="239"/>
      <c r="M87" s="239"/>
      <c r="N87" s="239"/>
      <c r="O87" s="240"/>
      <c r="P87" s="238"/>
      <c r="Q87" s="241"/>
      <c r="R87" s="239"/>
      <c r="S87" s="239"/>
      <c r="T87" s="239"/>
      <c r="U87" s="240"/>
      <c r="V87" s="238"/>
      <c r="W87" s="242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4"/>
      <c r="AN87" s="4"/>
    </row>
    <row r="88" ht="15.75" customHeight="1">
      <c r="A88" s="4"/>
      <c r="B88" s="4"/>
      <c r="C88" s="12"/>
      <c r="D88" s="4"/>
      <c r="E88" s="4"/>
      <c r="F88" s="4"/>
      <c r="G88" s="4"/>
      <c r="H88" s="4"/>
      <c r="I88" s="237"/>
      <c r="J88" s="238"/>
      <c r="K88" s="238"/>
      <c r="L88" s="239"/>
      <c r="M88" s="239"/>
      <c r="N88" s="239"/>
      <c r="O88" s="240"/>
      <c r="P88" s="238"/>
      <c r="Q88" s="241"/>
      <c r="R88" s="239"/>
      <c r="S88" s="239"/>
      <c r="T88" s="239"/>
      <c r="U88" s="240"/>
      <c r="V88" s="238"/>
      <c r="W88" s="242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4"/>
      <c r="AN88" s="4"/>
    </row>
    <row r="89" ht="15.75" customHeight="1">
      <c r="A89" s="4"/>
      <c r="B89" s="4"/>
      <c r="C89" s="12"/>
      <c r="D89" s="4"/>
      <c r="E89" s="4"/>
      <c r="F89" s="4"/>
      <c r="G89" s="4"/>
      <c r="H89" s="4"/>
      <c r="I89" s="237"/>
      <c r="J89" s="238"/>
      <c r="K89" s="238"/>
      <c r="L89" s="239"/>
      <c r="M89" s="239"/>
      <c r="N89" s="239"/>
      <c r="O89" s="240"/>
      <c r="P89" s="238"/>
      <c r="Q89" s="241"/>
      <c r="R89" s="239"/>
      <c r="S89" s="239"/>
      <c r="T89" s="239"/>
      <c r="U89" s="240"/>
      <c r="V89" s="238"/>
      <c r="W89" s="242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4"/>
      <c r="AN89" s="4"/>
    </row>
    <row r="90" ht="15.75" customHeight="1">
      <c r="A90" s="4"/>
      <c r="B90" s="4"/>
      <c r="C90" s="12"/>
      <c r="D90" s="4"/>
      <c r="E90" s="4"/>
      <c r="F90" s="4"/>
      <c r="G90" s="4"/>
      <c r="H90" s="4"/>
      <c r="I90" s="237"/>
      <c r="J90" s="238"/>
      <c r="K90" s="238"/>
      <c r="L90" s="239"/>
      <c r="M90" s="239"/>
      <c r="N90" s="239"/>
      <c r="O90" s="240"/>
      <c r="P90" s="238"/>
      <c r="Q90" s="241"/>
      <c r="R90" s="239"/>
      <c r="S90" s="239"/>
      <c r="T90" s="239"/>
      <c r="U90" s="240"/>
      <c r="V90" s="238"/>
      <c r="W90" s="242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4"/>
      <c r="AN90" s="4"/>
    </row>
    <row r="91" ht="15.75" customHeight="1">
      <c r="A91" s="4"/>
      <c r="B91" s="4"/>
      <c r="C91" s="12"/>
      <c r="D91" s="4"/>
      <c r="E91" s="4"/>
      <c r="F91" s="4"/>
      <c r="G91" s="4"/>
      <c r="H91" s="4"/>
      <c r="I91" s="237"/>
      <c r="J91" s="238"/>
      <c r="K91" s="238"/>
      <c r="L91" s="239"/>
      <c r="M91" s="239"/>
      <c r="N91" s="239"/>
      <c r="O91" s="240"/>
      <c r="P91" s="238"/>
      <c r="Q91" s="241"/>
      <c r="R91" s="239"/>
      <c r="S91" s="239"/>
      <c r="T91" s="239"/>
      <c r="U91" s="240"/>
      <c r="V91" s="238"/>
      <c r="W91" s="242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4"/>
      <c r="AN91" s="4"/>
    </row>
    <row r="92" ht="15.75" customHeight="1">
      <c r="A92" s="4"/>
      <c r="B92" s="4"/>
      <c r="C92" s="12"/>
      <c r="D92" s="4"/>
      <c r="E92" s="4"/>
      <c r="F92" s="4"/>
      <c r="G92" s="4"/>
      <c r="H92" s="4"/>
      <c r="I92" s="237"/>
      <c r="J92" s="238"/>
      <c r="K92" s="238"/>
      <c r="L92" s="239"/>
      <c r="M92" s="239"/>
      <c r="N92" s="239"/>
      <c r="O92" s="240"/>
      <c r="P92" s="238"/>
      <c r="Q92" s="241"/>
      <c r="R92" s="239"/>
      <c r="S92" s="239"/>
      <c r="T92" s="239"/>
      <c r="U92" s="240"/>
      <c r="V92" s="238"/>
      <c r="W92" s="242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4"/>
      <c r="AN92" s="4"/>
    </row>
    <row r="93" ht="15.75" customHeight="1">
      <c r="A93" s="4"/>
      <c r="B93" s="4"/>
      <c r="C93" s="12"/>
      <c r="D93" s="4"/>
      <c r="E93" s="4"/>
      <c r="F93" s="4"/>
      <c r="G93" s="4"/>
      <c r="H93" s="4"/>
      <c r="I93" s="237"/>
      <c r="J93" s="238"/>
      <c r="K93" s="238"/>
      <c r="L93" s="239"/>
      <c r="M93" s="239"/>
      <c r="N93" s="239"/>
      <c r="O93" s="240"/>
      <c r="P93" s="238"/>
      <c r="Q93" s="241"/>
      <c r="R93" s="239"/>
      <c r="S93" s="239"/>
      <c r="T93" s="239"/>
      <c r="U93" s="240"/>
      <c r="V93" s="238"/>
      <c r="W93" s="242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  <c r="AM93" s="4"/>
      <c r="AN93" s="4"/>
    </row>
    <row r="94" ht="15.75" customHeight="1">
      <c r="A94" s="4"/>
      <c r="B94" s="4"/>
      <c r="C94" s="12"/>
      <c r="D94" s="4"/>
      <c r="E94" s="4"/>
      <c r="F94" s="4"/>
      <c r="G94" s="4"/>
      <c r="H94" s="4"/>
      <c r="I94" s="237"/>
      <c r="J94" s="238"/>
      <c r="K94" s="238"/>
      <c r="L94" s="239"/>
      <c r="M94" s="239"/>
      <c r="N94" s="239"/>
      <c r="O94" s="240"/>
      <c r="P94" s="238"/>
      <c r="Q94" s="241"/>
      <c r="R94" s="239"/>
      <c r="S94" s="239"/>
      <c r="T94" s="239"/>
      <c r="U94" s="240"/>
      <c r="V94" s="238"/>
      <c r="W94" s="242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  <c r="AM94" s="4"/>
      <c r="AN94" s="4"/>
    </row>
    <row r="95" ht="15.75" customHeight="1">
      <c r="A95" s="4"/>
      <c r="B95" s="4"/>
      <c r="C95" s="12"/>
      <c r="D95" s="4"/>
      <c r="E95" s="4"/>
      <c r="F95" s="4"/>
      <c r="G95" s="4"/>
      <c r="H95" s="4"/>
      <c r="I95" s="237"/>
      <c r="J95" s="238"/>
      <c r="K95" s="238"/>
      <c r="L95" s="239"/>
      <c r="M95" s="239"/>
      <c r="N95" s="239"/>
      <c r="O95" s="240"/>
      <c r="P95" s="238"/>
      <c r="Q95" s="241"/>
      <c r="R95" s="239"/>
      <c r="S95" s="239"/>
      <c r="T95" s="239"/>
      <c r="U95" s="240"/>
      <c r="V95" s="238"/>
      <c r="W95" s="242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4"/>
      <c r="AN95" s="4"/>
    </row>
    <row r="96" ht="15.75" customHeight="1">
      <c r="A96" s="4"/>
      <c r="B96" s="4"/>
      <c r="C96" s="12"/>
      <c r="D96" s="4"/>
      <c r="E96" s="4"/>
      <c r="F96" s="4"/>
      <c r="G96" s="4"/>
      <c r="H96" s="4"/>
      <c r="I96" s="237"/>
      <c r="J96" s="238"/>
      <c r="K96" s="238"/>
      <c r="L96" s="239"/>
      <c r="M96" s="239"/>
      <c r="N96" s="239"/>
      <c r="O96" s="240"/>
      <c r="P96" s="238"/>
      <c r="Q96" s="241"/>
      <c r="R96" s="239"/>
      <c r="S96" s="239"/>
      <c r="T96" s="239"/>
      <c r="U96" s="240"/>
      <c r="V96" s="238"/>
      <c r="W96" s="242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  <c r="AM96" s="4"/>
      <c r="AN96" s="4"/>
    </row>
    <row r="97" ht="15.75" customHeight="1">
      <c r="A97" s="4"/>
      <c r="B97" s="4"/>
      <c r="C97" s="12"/>
      <c r="D97" s="4"/>
      <c r="E97" s="4"/>
      <c r="F97" s="4"/>
      <c r="G97" s="4"/>
      <c r="H97" s="4"/>
      <c r="I97" s="237"/>
      <c r="J97" s="238"/>
      <c r="K97" s="238"/>
      <c r="L97" s="239"/>
      <c r="M97" s="239"/>
      <c r="N97" s="239"/>
      <c r="O97" s="240"/>
      <c r="P97" s="238"/>
      <c r="Q97" s="241"/>
      <c r="R97" s="239"/>
      <c r="S97" s="239"/>
      <c r="T97" s="239"/>
      <c r="U97" s="240"/>
      <c r="V97" s="238"/>
      <c r="W97" s="242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  <c r="AM97" s="4"/>
      <c r="AN97" s="4"/>
    </row>
    <row r="98" ht="15.75" customHeight="1">
      <c r="A98" s="4"/>
      <c r="B98" s="4"/>
      <c r="C98" s="12"/>
      <c r="D98" s="4"/>
      <c r="E98" s="4"/>
      <c r="F98" s="4"/>
      <c r="G98" s="4"/>
      <c r="H98" s="4"/>
      <c r="I98" s="237"/>
      <c r="J98" s="238"/>
      <c r="K98" s="238"/>
      <c r="L98" s="239"/>
      <c r="M98" s="239"/>
      <c r="N98" s="239"/>
      <c r="O98" s="240"/>
      <c r="P98" s="238"/>
      <c r="Q98" s="241"/>
      <c r="R98" s="239"/>
      <c r="S98" s="239"/>
      <c r="T98" s="239"/>
      <c r="U98" s="240"/>
      <c r="V98" s="238"/>
      <c r="W98" s="242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/>
      <c r="AI98" s="239"/>
      <c r="AJ98" s="239"/>
      <c r="AK98" s="239"/>
      <c r="AL98" s="239"/>
      <c r="AM98" s="4"/>
      <c r="AN98" s="4"/>
    </row>
    <row r="99" ht="15.75" customHeight="1">
      <c r="A99" s="4"/>
      <c r="B99" s="4"/>
      <c r="C99" s="12"/>
      <c r="D99" s="4"/>
      <c r="E99" s="4"/>
      <c r="F99" s="4"/>
      <c r="G99" s="4"/>
      <c r="H99" s="4"/>
      <c r="I99" s="237"/>
      <c r="J99" s="238"/>
      <c r="K99" s="238"/>
      <c r="L99" s="239"/>
      <c r="M99" s="239"/>
      <c r="N99" s="239"/>
      <c r="O99" s="240"/>
      <c r="P99" s="238"/>
      <c r="Q99" s="241"/>
      <c r="R99" s="239"/>
      <c r="S99" s="239"/>
      <c r="T99" s="239"/>
      <c r="U99" s="240"/>
      <c r="V99" s="238"/>
      <c r="W99" s="242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239"/>
      <c r="AJ99" s="239"/>
      <c r="AK99" s="239"/>
      <c r="AL99" s="239"/>
      <c r="AM99" s="4"/>
      <c r="AN99" s="4"/>
    </row>
    <row r="100" ht="15.75" customHeight="1">
      <c r="A100" s="4"/>
      <c r="B100" s="4"/>
      <c r="C100" s="12"/>
      <c r="D100" s="4"/>
      <c r="E100" s="4"/>
      <c r="F100" s="4"/>
      <c r="G100" s="4"/>
      <c r="H100" s="4"/>
      <c r="I100" s="237"/>
      <c r="J100" s="238"/>
      <c r="K100" s="238"/>
      <c r="L100" s="239"/>
      <c r="M100" s="239"/>
      <c r="N100" s="239"/>
      <c r="O100" s="240"/>
      <c r="P100" s="238"/>
      <c r="Q100" s="241"/>
      <c r="R100" s="239"/>
      <c r="S100" s="239"/>
      <c r="T100" s="239"/>
      <c r="U100" s="240"/>
      <c r="V100" s="238"/>
      <c r="W100" s="242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4"/>
      <c r="AN100" s="4"/>
    </row>
    <row r="101" ht="15.75" customHeight="1">
      <c r="A101" s="4"/>
      <c r="B101" s="4"/>
      <c r="C101" s="12"/>
      <c r="D101" s="4"/>
      <c r="E101" s="4"/>
      <c r="F101" s="4"/>
      <c r="G101" s="4"/>
      <c r="H101" s="4"/>
      <c r="I101" s="237"/>
      <c r="J101" s="238"/>
      <c r="K101" s="238"/>
      <c r="L101" s="239"/>
      <c r="M101" s="239"/>
      <c r="N101" s="239"/>
      <c r="O101" s="240"/>
      <c r="P101" s="238"/>
      <c r="Q101" s="241"/>
      <c r="R101" s="239"/>
      <c r="S101" s="239"/>
      <c r="T101" s="239"/>
      <c r="U101" s="240"/>
      <c r="V101" s="238"/>
      <c r="W101" s="242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4"/>
      <c r="AN101" s="4"/>
    </row>
    <row r="102" ht="15.75" customHeight="1">
      <c r="A102" s="4"/>
      <c r="B102" s="4"/>
      <c r="C102" s="12"/>
      <c r="D102" s="4"/>
      <c r="E102" s="4"/>
      <c r="F102" s="4"/>
      <c r="G102" s="4"/>
      <c r="H102" s="4"/>
      <c r="I102" s="237"/>
      <c r="J102" s="238"/>
      <c r="K102" s="238"/>
      <c r="L102" s="239"/>
      <c r="M102" s="239"/>
      <c r="N102" s="239"/>
      <c r="O102" s="240"/>
      <c r="P102" s="238"/>
      <c r="Q102" s="241"/>
      <c r="R102" s="239"/>
      <c r="S102" s="239"/>
      <c r="T102" s="239"/>
      <c r="U102" s="240"/>
      <c r="V102" s="238"/>
      <c r="W102" s="242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4"/>
      <c r="AN102" s="4"/>
    </row>
    <row r="103" ht="15.75" customHeight="1">
      <c r="A103" s="4"/>
      <c r="B103" s="4"/>
      <c r="C103" s="12"/>
      <c r="D103" s="4"/>
      <c r="E103" s="4"/>
      <c r="F103" s="4"/>
      <c r="G103" s="4"/>
      <c r="H103" s="4"/>
      <c r="I103" s="237"/>
      <c r="J103" s="238"/>
      <c r="K103" s="238"/>
      <c r="L103" s="239"/>
      <c r="M103" s="239"/>
      <c r="N103" s="239"/>
      <c r="O103" s="240"/>
      <c r="P103" s="238"/>
      <c r="Q103" s="241"/>
      <c r="R103" s="239"/>
      <c r="S103" s="239"/>
      <c r="T103" s="239"/>
      <c r="U103" s="240"/>
      <c r="V103" s="238"/>
      <c r="W103" s="242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4"/>
      <c r="AN103" s="4"/>
    </row>
    <row r="104" ht="15.75" customHeight="1">
      <c r="A104" s="4"/>
      <c r="B104" s="4"/>
      <c r="C104" s="12"/>
      <c r="D104" s="4"/>
      <c r="E104" s="4"/>
      <c r="F104" s="4"/>
      <c r="G104" s="4"/>
      <c r="H104" s="4"/>
      <c r="I104" s="237"/>
      <c r="J104" s="238"/>
      <c r="K104" s="238"/>
      <c r="L104" s="239"/>
      <c r="M104" s="239"/>
      <c r="N104" s="239"/>
      <c r="O104" s="240"/>
      <c r="P104" s="238"/>
      <c r="Q104" s="241"/>
      <c r="R104" s="239"/>
      <c r="S104" s="239"/>
      <c r="T104" s="239"/>
      <c r="U104" s="240"/>
      <c r="V104" s="238"/>
      <c r="W104" s="242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4"/>
      <c r="AN104" s="4"/>
    </row>
    <row r="105" ht="15.75" customHeight="1">
      <c r="A105" s="4"/>
      <c r="B105" s="4"/>
      <c r="C105" s="12"/>
      <c r="D105" s="4"/>
      <c r="E105" s="4"/>
      <c r="F105" s="4"/>
      <c r="G105" s="4"/>
      <c r="H105" s="4"/>
      <c r="I105" s="237"/>
      <c r="J105" s="238"/>
      <c r="K105" s="238"/>
      <c r="L105" s="239"/>
      <c r="M105" s="239"/>
      <c r="N105" s="239"/>
      <c r="O105" s="240"/>
      <c r="P105" s="238"/>
      <c r="Q105" s="241"/>
      <c r="R105" s="239"/>
      <c r="S105" s="239"/>
      <c r="T105" s="239"/>
      <c r="U105" s="240"/>
      <c r="V105" s="238"/>
      <c r="W105" s="242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4"/>
      <c r="AN105" s="4"/>
    </row>
    <row r="106" ht="15.75" customHeight="1">
      <c r="A106" s="4"/>
      <c r="B106" s="4"/>
      <c r="C106" s="12"/>
      <c r="D106" s="4"/>
      <c r="E106" s="4"/>
      <c r="F106" s="4"/>
      <c r="G106" s="4"/>
      <c r="H106" s="4"/>
      <c r="I106" s="237"/>
      <c r="J106" s="238"/>
      <c r="K106" s="238"/>
      <c r="L106" s="239"/>
      <c r="M106" s="239"/>
      <c r="N106" s="239"/>
      <c r="O106" s="240"/>
      <c r="P106" s="238"/>
      <c r="Q106" s="241"/>
      <c r="R106" s="239"/>
      <c r="S106" s="239"/>
      <c r="T106" s="239"/>
      <c r="U106" s="240"/>
      <c r="V106" s="238"/>
      <c r="W106" s="242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4"/>
      <c r="AN106" s="4"/>
    </row>
    <row r="107" ht="15.75" customHeight="1">
      <c r="A107" s="4"/>
      <c r="B107" s="4"/>
      <c r="C107" s="12"/>
      <c r="D107" s="4"/>
      <c r="E107" s="4"/>
      <c r="F107" s="4"/>
      <c r="G107" s="4"/>
      <c r="H107" s="4"/>
      <c r="I107" s="237"/>
      <c r="J107" s="238"/>
      <c r="K107" s="238"/>
      <c r="L107" s="239"/>
      <c r="M107" s="239"/>
      <c r="N107" s="239"/>
      <c r="O107" s="240"/>
      <c r="P107" s="238"/>
      <c r="Q107" s="241"/>
      <c r="R107" s="239"/>
      <c r="S107" s="239"/>
      <c r="T107" s="239"/>
      <c r="U107" s="240"/>
      <c r="V107" s="238"/>
      <c r="W107" s="242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4"/>
      <c r="AN107" s="4"/>
    </row>
    <row r="108" ht="15.75" customHeight="1">
      <c r="A108" s="4"/>
      <c r="B108" s="4"/>
      <c r="C108" s="12"/>
      <c r="D108" s="4"/>
      <c r="E108" s="4"/>
      <c r="F108" s="4"/>
      <c r="G108" s="4"/>
      <c r="H108" s="4"/>
      <c r="I108" s="237"/>
      <c r="J108" s="238"/>
      <c r="K108" s="238"/>
      <c r="L108" s="239"/>
      <c r="M108" s="239"/>
      <c r="N108" s="239"/>
      <c r="O108" s="240"/>
      <c r="P108" s="238"/>
      <c r="Q108" s="241"/>
      <c r="R108" s="239"/>
      <c r="S108" s="239"/>
      <c r="T108" s="239"/>
      <c r="U108" s="240"/>
      <c r="V108" s="238"/>
      <c r="W108" s="242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4"/>
      <c r="AN108" s="4"/>
    </row>
    <row r="109" ht="15.75" customHeight="1">
      <c r="A109" s="4"/>
      <c r="B109" s="4"/>
      <c r="C109" s="12"/>
      <c r="D109" s="4"/>
      <c r="E109" s="4"/>
      <c r="F109" s="4"/>
      <c r="G109" s="4"/>
      <c r="H109" s="4"/>
      <c r="I109" s="237"/>
      <c r="J109" s="238"/>
      <c r="K109" s="238"/>
      <c r="L109" s="239"/>
      <c r="M109" s="239"/>
      <c r="N109" s="239"/>
      <c r="O109" s="240"/>
      <c r="P109" s="238"/>
      <c r="Q109" s="241"/>
      <c r="R109" s="239"/>
      <c r="S109" s="239"/>
      <c r="T109" s="239"/>
      <c r="U109" s="240"/>
      <c r="V109" s="238"/>
      <c r="W109" s="242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4"/>
      <c r="AN109" s="4"/>
    </row>
    <row r="110" ht="15.75" customHeight="1">
      <c r="A110" s="4"/>
      <c r="B110" s="4"/>
      <c r="C110" s="12"/>
      <c r="D110" s="4"/>
      <c r="E110" s="4"/>
      <c r="F110" s="4"/>
      <c r="G110" s="4"/>
      <c r="H110" s="4"/>
      <c r="I110" s="237"/>
      <c r="J110" s="238"/>
      <c r="K110" s="238"/>
      <c r="L110" s="239"/>
      <c r="M110" s="239"/>
      <c r="N110" s="239"/>
      <c r="O110" s="240"/>
      <c r="P110" s="238"/>
      <c r="Q110" s="241"/>
      <c r="R110" s="239"/>
      <c r="S110" s="239"/>
      <c r="T110" s="239"/>
      <c r="U110" s="240"/>
      <c r="V110" s="238"/>
      <c r="W110" s="242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4"/>
      <c r="AN110" s="4"/>
    </row>
    <row r="111" ht="15.75" customHeight="1">
      <c r="A111" s="4"/>
      <c r="B111" s="4"/>
      <c r="C111" s="12"/>
      <c r="D111" s="4"/>
      <c r="E111" s="4"/>
      <c r="F111" s="4"/>
      <c r="G111" s="4"/>
      <c r="H111" s="4"/>
      <c r="I111" s="237"/>
      <c r="J111" s="238"/>
      <c r="K111" s="238"/>
      <c r="L111" s="239"/>
      <c r="M111" s="239"/>
      <c r="N111" s="239"/>
      <c r="O111" s="240"/>
      <c r="P111" s="238"/>
      <c r="Q111" s="241"/>
      <c r="R111" s="239"/>
      <c r="S111" s="239"/>
      <c r="T111" s="239"/>
      <c r="U111" s="240"/>
      <c r="V111" s="238"/>
      <c r="W111" s="242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4"/>
      <c r="AN111" s="4"/>
    </row>
    <row r="112" ht="15.75" customHeight="1">
      <c r="A112" s="4"/>
      <c r="B112" s="4"/>
      <c r="C112" s="12"/>
      <c r="D112" s="4"/>
      <c r="E112" s="4"/>
      <c r="F112" s="4"/>
      <c r="G112" s="4"/>
      <c r="H112" s="4"/>
      <c r="I112" s="237"/>
      <c r="J112" s="238"/>
      <c r="K112" s="238"/>
      <c r="L112" s="239"/>
      <c r="M112" s="239"/>
      <c r="N112" s="239"/>
      <c r="O112" s="240"/>
      <c r="P112" s="238"/>
      <c r="Q112" s="241"/>
      <c r="R112" s="239"/>
      <c r="S112" s="239"/>
      <c r="T112" s="239"/>
      <c r="U112" s="240"/>
      <c r="V112" s="238"/>
      <c r="W112" s="242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4"/>
      <c r="AN112" s="4"/>
    </row>
    <row r="113" ht="15.75" customHeight="1">
      <c r="A113" s="4"/>
      <c r="B113" s="4"/>
      <c r="C113" s="12"/>
      <c r="D113" s="4"/>
      <c r="E113" s="4"/>
      <c r="F113" s="4"/>
      <c r="G113" s="4"/>
      <c r="H113" s="4"/>
      <c r="I113" s="237"/>
      <c r="J113" s="238"/>
      <c r="K113" s="238"/>
      <c r="L113" s="239"/>
      <c r="M113" s="239"/>
      <c r="N113" s="239"/>
      <c r="O113" s="240"/>
      <c r="P113" s="238"/>
      <c r="Q113" s="241"/>
      <c r="R113" s="239"/>
      <c r="S113" s="239"/>
      <c r="T113" s="239"/>
      <c r="U113" s="240"/>
      <c r="V113" s="238"/>
      <c r="W113" s="242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4"/>
      <c r="AN113" s="4"/>
    </row>
    <row r="114" ht="15.75" customHeight="1">
      <c r="A114" s="4"/>
      <c r="B114" s="4"/>
      <c r="C114" s="12"/>
      <c r="D114" s="4"/>
      <c r="E114" s="4"/>
      <c r="F114" s="4"/>
      <c r="G114" s="4"/>
      <c r="H114" s="4"/>
      <c r="I114" s="237"/>
      <c r="J114" s="238"/>
      <c r="K114" s="238"/>
      <c r="L114" s="239"/>
      <c r="M114" s="239"/>
      <c r="N114" s="239"/>
      <c r="O114" s="240"/>
      <c r="P114" s="238"/>
      <c r="Q114" s="241"/>
      <c r="R114" s="239"/>
      <c r="S114" s="239"/>
      <c r="T114" s="239"/>
      <c r="U114" s="240"/>
      <c r="V114" s="238"/>
      <c r="W114" s="242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4"/>
      <c r="AN114" s="4"/>
    </row>
    <row r="115" ht="15.75" customHeight="1">
      <c r="A115" s="4"/>
      <c r="B115" s="4"/>
      <c r="C115" s="12"/>
      <c r="D115" s="4"/>
      <c r="E115" s="4"/>
      <c r="F115" s="4"/>
      <c r="G115" s="4"/>
      <c r="H115" s="4"/>
      <c r="I115" s="237"/>
      <c r="J115" s="238"/>
      <c r="K115" s="238"/>
      <c r="L115" s="239"/>
      <c r="M115" s="239"/>
      <c r="N115" s="239"/>
      <c r="O115" s="240"/>
      <c r="P115" s="238"/>
      <c r="Q115" s="241"/>
      <c r="R115" s="239"/>
      <c r="S115" s="239"/>
      <c r="T115" s="239"/>
      <c r="U115" s="240"/>
      <c r="V115" s="238"/>
      <c r="W115" s="242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4"/>
      <c r="AN115" s="4"/>
    </row>
    <row r="116" ht="15.75" customHeight="1">
      <c r="A116" s="4"/>
      <c r="B116" s="4"/>
      <c r="C116" s="12"/>
      <c r="D116" s="4"/>
      <c r="E116" s="4"/>
      <c r="F116" s="4"/>
      <c r="G116" s="4"/>
      <c r="H116" s="4"/>
      <c r="I116" s="237"/>
      <c r="J116" s="238"/>
      <c r="K116" s="238"/>
      <c r="L116" s="239"/>
      <c r="M116" s="239"/>
      <c r="N116" s="239"/>
      <c r="O116" s="240"/>
      <c r="P116" s="238"/>
      <c r="Q116" s="241"/>
      <c r="R116" s="239"/>
      <c r="S116" s="239"/>
      <c r="T116" s="239"/>
      <c r="U116" s="240"/>
      <c r="V116" s="238"/>
      <c r="W116" s="242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4"/>
      <c r="AN116" s="4"/>
    </row>
    <row r="117" ht="15.75" customHeight="1">
      <c r="A117" s="4"/>
      <c r="B117" s="4"/>
      <c r="C117" s="12"/>
      <c r="D117" s="4"/>
      <c r="E117" s="4"/>
      <c r="F117" s="4"/>
      <c r="G117" s="4"/>
      <c r="H117" s="4"/>
      <c r="I117" s="237"/>
      <c r="J117" s="238"/>
      <c r="K117" s="238"/>
      <c r="L117" s="239"/>
      <c r="M117" s="239"/>
      <c r="N117" s="239"/>
      <c r="O117" s="240"/>
      <c r="P117" s="238"/>
      <c r="Q117" s="241"/>
      <c r="R117" s="239"/>
      <c r="S117" s="239"/>
      <c r="T117" s="239"/>
      <c r="U117" s="240"/>
      <c r="V117" s="238"/>
      <c r="W117" s="242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4"/>
      <c r="AN117" s="4"/>
    </row>
    <row r="118" ht="15.75" customHeight="1">
      <c r="A118" s="4"/>
      <c r="B118" s="4"/>
      <c r="C118" s="12"/>
      <c r="D118" s="4"/>
      <c r="E118" s="4"/>
      <c r="F118" s="4"/>
      <c r="G118" s="4"/>
      <c r="H118" s="4"/>
      <c r="I118" s="237"/>
      <c r="J118" s="238"/>
      <c r="K118" s="238"/>
      <c r="L118" s="239"/>
      <c r="M118" s="239"/>
      <c r="N118" s="239"/>
      <c r="O118" s="240"/>
      <c r="P118" s="238"/>
      <c r="Q118" s="241"/>
      <c r="R118" s="239"/>
      <c r="S118" s="239"/>
      <c r="T118" s="239"/>
      <c r="U118" s="240"/>
      <c r="V118" s="238"/>
      <c r="W118" s="242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4"/>
      <c r="AN118" s="4"/>
    </row>
    <row r="119" ht="15.75" customHeight="1">
      <c r="A119" s="4"/>
      <c r="B119" s="4"/>
      <c r="C119" s="12"/>
      <c r="D119" s="4"/>
      <c r="E119" s="4"/>
      <c r="F119" s="4"/>
      <c r="G119" s="4"/>
      <c r="H119" s="4"/>
      <c r="I119" s="237"/>
      <c r="J119" s="238"/>
      <c r="K119" s="238"/>
      <c r="L119" s="239"/>
      <c r="M119" s="239"/>
      <c r="N119" s="239"/>
      <c r="O119" s="240"/>
      <c r="P119" s="238"/>
      <c r="Q119" s="241"/>
      <c r="R119" s="239"/>
      <c r="S119" s="239"/>
      <c r="T119" s="239"/>
      <c r="U119" s="240"/>
      <c r="V119" s="238"/>
      <c r="W119" s="242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4"/>
      <c r="AN119" s="4"/>
    </row>
    <row r="120" ht="15.75" customHeight="1">
      <c r="A120" s="4"/>
      <c r="B120" s="4"/>
      <c r="C120" s="12"/>
      <c r="D120" s="4"/>
      <c r="E120" s="4"/>
      <c r="F120" s="4"/>
      <c r="G120" s="4"/>
      <c r="H120" s="4"/>
      <c r="I120" s="237"/>
      <c r="J120" s="238"/>
      <c r="K120" s="238"/>
      <c r="L120" s="239"/>
      <c r="M120" s="239"/>
      <c r="N120" s="239"/>
      <c r="O120" s="240"/>
      <c r="P120" s="238"/>
      <c r="Q120" s="241"/>
      <c r="R120" s="239"/>
      <c r="S120" s="239"/>
      <c r="T120" s="239"/>
      <c r="U120" s="240"/>
      <c r="V120" s="238"/>
      <c r="W120" s="242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4"/>
      <c r="AN120" s="4"/>
    </row>
    <row r="121" ht="15.75" customHeight="1">
      <c r="A121" s="4"/>
      <c r="B121" s="4"/>
      <c r="C121" s="12"/>
      <c r="D121" s="4"/>
      <c r="E121" s="4"/>
      <c r="F121" s="4"/>
      <c r="G121" s="4"/>
      <c r="H121" s="4"/>
      <c r="I121" s="237"/>
      <c r="J121" s="238"/>
      <c r="K121" s="238"/>
      <c r="L121" s="239"/>
      <c r="M121" s="239"/>
      <c r="N121" s="239"/>
      <c r="O121" s="240"/>
      <c r="P121" s="238"/>
      <c r="Q121" s="241"/>
      <c r="R121" s="239"/>
      <c r="S121" s="239"/>
      <c r="T121" s="239"/>
      <c r="U121" s="240"/>
      <c r="V121" s="238"/>
      <c r="W121" s="242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4"/>
      <c r="AN121" s="4"/>
    </row>
    <row r="122" ht="15.75" customHeight="1">
      <c r="A122" s="4"/>
      <c r="B122" s="4"/>
      <c r="C122" s="12"/>
      <c r="D122" s="4"/>
      <c r="E122" s="4"/>
      <c r="F122" s="4"/>
      <c r="G122" s="4"/>
      <c r="H122" s="4"/>
      <c r="I122" s="237"/>
      <c r="J122" s="238"/>
      <c r="K122" s="238"/>
      <c r="L122" s="239"/>
      <c r="M122" s="239"/>
      <c r="N122" s="239"/>
      <c r="O122" s="240"/>
      <c r="P122" s="238"/>
      <c r="Q122" s="241"/>
      <c r="R122" s="239"/>
      <c r="S122" s="239"/>
      <c r="T122" s="239"/>
      <c r="U122" s="240"/>
      <c r="V122" s="238"/>
      <c r="W122" s="242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  <c r="AM122" s="4"/>
      <c r="AN122" s="4"/>
    </row>
    <row r="123" ht="15.75" customHeight="1">
      <c r="A123" s="4"/>
      <c r="B123" s="4"/>
      <c r="C123" s="12"/>
      <c r="D123" s="4"/>
      <c r="E123" s="4"/>
      <c r="F123" s="4"/>
      <c r="G123" s="4"/>
      <c r="H123" s="4"/>
      <c r="I123" s="237"/>
      <c r="J123" s="238"/>
      <c r="K123" s="238"/>
      <c r="L123" s="239"/>
      <c r="M123" s="239"/>
      <c r="N123" s="239"/>
      <c r="O123" s="240"/>
      <c r="P123" s="238"/>
      <c r="Q123" s="241"/>
      <c r="R123" s="239"/>
      <c r="S123" s="239"/>
      <c r="T123" s="239"/>
      <c r="U123" s="240"/>
      <c r="V123" s="238"/>
      <c r="W123" s="242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  <c r="AM123" s="4"/>
      <c r="AN123" s="4"/>
    </row>
    <row r="124" ht="15.75" customHeight="1">
      <c r="A124" s="4"/>
      <c r="B124" s="4"/>
      <c r="C124" s="12"/>
      <c r="D124" s="4"/>
      <c r="E124" s="4"/>
      <c r="F124" s="4"/>
      <c r="G124" s="4"/>
      <c r="H124" s="4"/>
      <c r="I124" s="237"/>
      <c r="J124" s="238"/>
      <c r="K124" s="238"/>
      <c r="L124" s="239"/>
      <c r="M124" s="239"/>
      <c r="N124" s="239"/>
      <c r="O124" s="240"/>
      <c r="P124" s="238"/>
      <c r="Q124" s="241"/>
      <c r="R124" s="239"/>
      <c r="S124" s="239"/>
      <c r="T124" s="239"/>
      <c r="U124" s="240"/>
      <c r="V124" s="238"/>
      <c r="W124" s="242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39"/>
      <c r="AL124" s="239"/>
      <c r="AM124" s="4"/>
      <c r="AN124" s="4"/>
    </row>
    <row r="125" ht="15.75" customHeight="1">
      <c r="A125" s="4"/>
      <c r="B125" s="4"/>
      <c r="C125" s="12"/>
      <c r="D125" s="4"/>
      <c r="E125" s="4"/>
      <c r="F125" s="4"/>
      <c r="G125" s="4"/>
      <c r="H125" s="4"/>
      <c r="I125" s="237"/>
      <c r="J125" s="238"/>
      <c r="K125" s="238"/>
      <c r="L125" s="239"/>
      <c r="M125" s="239"/>
      <c r="N125" s="239"/>
      <c r="O125" s="240"/>
      <c r="P125" s="238"/>
      <c r="Q125" s="241"/>
      <c r="R125" s="239"/>
      <c r="S125" s="239"/>
      <c r="T125" s="239"/>
      <c r="U125" s="240"/>
      <c r="V125" s="238"/>
      <c r="W125" s="242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  <c r="AM125" s="4"/>
      <c r="AN125" s="4"/>
    </row>
    <row r="126" ht="15.75" customHeight="1">
      <c r="A126" s="4"/>
      <c r="B126" s="4"/>
      <c r="C126" s="12"/>
      <c r="D126" s="4"/>
      <c r="E126" s="4"/>
      <c r="F126" s="4"/>
      <c r="G126" s="4"/>
      <c r="H126" s="4"/>
      <c r="I126" s="237"/>
      <c r="J126" s="238"/>
      <c r="K126" s="238"/>
      <c r="L126" s="239"/>
      <c r="M126" s="239"/>
      <c r="N126" s="239"/>
      <c r="O126" s="240"/>
      <c r="P126" s="238"/>
      <c r="Q126" s="241"/>
      <c r="R126" s="239"/>
      <c r="S126" s="239"/>
      <c r="T126" s="239"/>
      <c r="U126" s="240"/>
      <c r="V126" s="238"/>
      <c r="W126" s="242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4"/>
      <c r="AN126" s="4"/>
    </row>
    <row r="127" ht="15.75" customHeight="1">
      <c r="A127" s="4"/>
      <c r="B127" s="4"/>
      <c r="C127" s="12"/>
      <c r="D127" s="4"/>
      <c r="E127" s="4"/>
      <c r="F127" s="4"/>
      <c r="G127" s="4"/>
      <c r="H127" s="4"/>
      <c r="I127" s="237"/>
      <c r="J127" s="238"/>
      <c r="K127" s="238"/>
      <c r="L127" s="239"/>
      <c r="M127" s="239"/>
      <c r="N127" s="239"/>
      <c r="O127" s="240"/>
      <c r="P127" s="238"/>
      <c r="Q127" s="241"/>
      <c r="R127" s="239"/>
      <c r="S127" s="239"/>
      <c r="T127" s="239"/>
      <c r="U127" s="240"/>
      <c r="V127" s="238"/>
      <c r="W127" s="242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239"/>
      <c r="AJ127" s="239"/>
      <c r="AK127" s="239"/>
      <c r="AL127" s="239"/>
      <c r="AM127" s="4"/>
      <c r="AN127" s="4"/>
    </row>
    <row r="128" ht="15.75" customHeight="1">
      <c r="A128" s="4"/>
      <c r="B128" s="4"/>
      <c r="C128" s="12"/>
      <c r="D128" s="4"/>
      <c r="E128" s="4"/>
      <c r="F128" s="4"/>
      <c r="G128" s="4"/>
      <c r="H128" s="4"/>
      <c r="I128" s="237"/>
      <c r="J128" s="238"/>
      <c r="K128" s="238"/>
      <c r="L128" s="239"/>
      <c r="M128" s="239"/>
      <c r="N128" s="239"/>
      <c r="O128" s="240"/>
      <c r="P128" s="238"/>
      <c r="Q128" s="241"/>
      <c r="R128" s="239"/>
      <c r="S128" s="239"/>
      <c r="T128" s="239"/>
      <c r="U128" s="240"/>
      <c r="V128" s="238"/>
      <c r="W128" s="242"/>
      <c r="X128" s="239"/>
      <c r="Y128" s="239"/>
      <c r="Z128" s="239"/>
      <c r="AA128" s="239"/>
      <c r="AB128" s="239"/>
      <c r="AC128" s="239"/>
      <c r="AD128" s="239"/>
      <c r="AE128" s="239"/>
      <c r="AF128" s="239"/>
      <c r="AG128" s="239"/>
      <c r="AH128" s="239"/>
      <c r="AI128" s="239"/>
      <c r="AJ128" s="239"/>
      <c r="AK128" s="239"/>
      <c r="AL128" s="239"/>
      <c r="AM128" s="4"/>
      <c r="AN128" s="4"/>
    </row>
    <row r="129" ht="15.75" customHeight="1">
      <c r="A129" s="4"/>
      <c r="B129" s="4"/>
      <c r="C129" s="12"/>
      <c r="D129" s="4"/>
      <c r="E129" s="4"/>
      <c r="F129" s="4"/>
      <c r="G129" s="4"/>
      <c r="H129" s="4"/>
      <c r="I129" s="237"/>
      <c r="J129" s="238"/>
      <c r="K129" s="238"/>
      <c r="L129" s="239"/>
      <c r="M129" s="239"/>
      <c r="N129" s="239"/>
      <c r="O129" s="240"/>
      <c r="P129" s="238"/>
      <c r="Q129" s="241"/>
      <c r="R129" s="239"/>
      <c r="S129" s="239"/>
      <c r="T129" s="239"/>
      <c r="U129" s="240"/>
      <c r="V129" s="238"/>
      <c r="W129" s="242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4"/>
      <c r="AN129" s="4"/>
    </row>
    <row r="130" ht="15.75" customHeight="1">
      <c r="A130" s="4"/>
      <c r="B130" s="4"/>
      <c r="C130" s="12"/>
      <c r="D130" s="4"/>
      <c r="E130" s="4"/>
      <c r="F130" s="4"/>
      <c r="G130" s="4"/>
      <c r="H130" s="4"/>
      <c r="I130" s="237"/>
      <c r="J130" s="238"/>
      <c r="K130" s="238"/>
      <c r="L130" s="239"/>
      <c r="M130" s="239"/>
      <c r="N130" s="239"/>
      <c r="O130" s="240"/>
      <c r="P130" s="238"/>
      <c r="Q130" s="241"/>
      <c r="R130" s="239"/>
      <c r="S130" s="239"/>
      <c r="T130" s="239"/>
      <c r="U130" s="240"/>
      <c r="V130" s="238"/>
      <c r="W130" s="242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4"/>
      <c r="AN130" s="4"/>
    </row>
    <row r="131" ht="15.75" customHeight="1">
      <c r="A131" s="4"/>
      <c r="B131" s="4"/>
      <c r="C131" s="12"/>
      <c r="D131" s="4"/>
      <c r="E131" s="4"/>
      <c r="F131" s="4"/>
      <c r="G131" s="4"/>
      <c r="H131" s="4"/>
      <c r="I131" s="237"/>
      <c r="J131" s="238"/>
      <c r="K131" s="238"/>
      <c r="L131" s="239"/>
      <c r="M131" s="239"/>
      <c r="N131" s="239"/>
      <c r="O131" s="240"/>
      <c r="P131" s="238"/>
      <c r="Q131" s="241"/>
      <c r="R131" s="239"/>
      <c r="S131" s="239"/>
      <c r="T131" s="239"/>
      <c r="U131" s="240"/>
      <c r="V131" s="238"/>
      <c r="W131" s="242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/>
      <c r="AI131" s="239"/>
      <c r="AJ131" s="239"/>
      <c r="AK131" s="239"/>
      <c r="AL131" s="239"/>
      <c r="AM131" s="4"/>
      <c r="AN131" s="4"/>
    </row>
    <row r="132" ht="15.75" customHeight="1">
      <c r="A132" s="4"/>
      <c r="B132" s="4"/>
      <c r="C132" s="12"/>
      <c r="D132" s="4"/>
      <c r="E132" s="4"/>
      <c r="F132" s="4"/>
      <c r="G132" s="4"/>
      <c r="H132" s="4"/>
      <c r="I132" s="237"/>
      <c r="J132" s="238"/>
      <c r="K132" s="238"/>
      <c r="L132" s="239"/>
      <c r="M132" s="239"/>
      <c r="N132" s="239"/>
      <c r="O132" s="240"/>
      <c r="P132" s="238"/>
      <c r="Q132" s="241"/>
      <c r="R132" s="239"/>
      <c r="S132" s="239"/>
      <c r="T132" s="239"/>
      <c r="U132" s="240"/>
      <c r="V132" s="238"/>
      <c r="W132" s="242"/>
      <c r="X132" s="239"/>
      <c r="Y132" s="239"/>
      <c r="Z132" s="239"/>
      <c r="AA132" s="239"/>
      <c r="AB132" s="239"/>
      <c r="AC132" s="239"/>
      <c r="AD132" s="239"/>
      <c r="AE132" s="239"/>
      <c r="AF132" s="239"/>
      <c r="AG132" s="239"/>
      <c r="AH132" s="239"/>
      <c r="AI132" s="239"/>
      <c r="AJ132" s="239"/>
      <c r="AK132" s="239"/>
      <c r="AL132" s="239"/>
      <c r="AM132" s="4"/>
      <c r="AN132" s="4"/>
    </row>
    <row r="133" ht="15.75" customHeight="1">
      <c r="A133" s="4"/>
      <c r="B133" s="4"/>
      <c r="C133" s="12"/>
      <c r="D133" s="4"/>
      <c r="E133" s="4"/>
      <c r="F133" s="4"/>
      <c r="G133" s="4"/>
      <c r="H133" s="4"/>
      <c r="I133" s="237"/>
      <c r="J133" s="238"/>
      <c r="K133" s="238"/>
      <c r="L133" s="239"/>
      <c r="M133" s="239"/>
      <c r="N133" s="239"/>
      <c r="O133" s="240"/>
      <c r="P133" s="238"/>
      <c r="Q133" s="241"/>
      <c r="R133" s="239"/>
      <c r="S133" s="239"/>
      <c r="T133" s="239"/>
      <c r="U133" s="240"/>
      <c r="V133" s="238"/>
      <c r="W133" s="242"/>
      <c r="X133" s="239"/>
      <c r="Y133" s="239"/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J133" s="239"/>
      <c r="AK133" s="239"/>
      <c r="AL133" s="239"/>
      <c r="AM133" s="4"/>
      <c r="AN133" s="4"/>
    </row>
    <row r="134" ht="15.75" customHeight="1">
      <c r="A134" s="4"/>
      <c r="B134" s="4"/>
      <c r="C134" s="12"/>
      <c r="D134" s="4"/>
      <c r="E134" s="4"/>
      <c r="F134" s="4"/>
      <c r="G134" s="4"/>
      <c r="H134" s="4"/>
      <c r="I134" s="237"/>
      <c r="J134" s="238"/>
      <c r="K134" s="238"/>
      <c r="L134" s="239"/>
      <c r="M134" s="239"/>
      <c r="N134" s="239"/>
      <c r="O134" s="240"/>
      <c r="P134" s="238"/>
      <c r="Q134" s="241"/>
      <c r="R134" s="239"/>
      <c r="S134" s="239"/>
      <c r="T134" s="239"/>
      <c r="U134" s="240"/>
      <c r="V134" s="238"/>
      <c r="W134" s="242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4"/>
      <c r="AN134" s="4"/>
    </row>
    <row r="135" ht="15.75" customHeight="1">
      <c r="A135" s="4"/>
      <c r="B135" s="4"/>
      <c r="C135" s="12"/>
      <c r="D135" s="4"/>
      <c r="E135" s="4"/>
      <c r="F135" s="4"/>
      <c r="G135" s="4"/>
      <c r="H135" s="4"/>
      <c r="I135" s="237"/>
      <c r="J135" s="238"/>
      <c r="K135" s="238"/>
      <c r="L135" s="239"/>
      <c r="M135" s="239"/>
      <c r="N135" s="239"/>
      <c r="O135" s="240"/>
      <c r="P135" s="238"/>
      <c r="Q135" s="241"/>
      <c r="R135" s="239"/>
      <c r="S135" s="239"/>
      <c r="T135" s="239"/>
      <c r="U135" s="240"/>
      <c r="V135" s="238"/>
      <c r="W135" s="242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4"/>
      <c r="AN135" s="4"/>
    </row>
    <row r="136" ht="15.75" customHeight="1">
      <c r="A136" s="4"/>
      <c r="B136" s="4"/>
      <c r="C136" s="12"/>
      <c r="D136" s="4"/>
      <c r="E136" s="4"/>
      <c r="F136" s="4"/>
      <c r="G136" s="4"/>
      <c r="H136" s="4"/>
      <c r="I136" s="237"/>
      <c r="J136" s="238"/>
      <c r="K136" s="238"/>
      <c r="L136" s="239"/>
      <c r="M136" s="239"/>
      <c r="N136" s="239"/>
      <c r="O136" s="240"/>
      <c r="P136" s="238"/>
      <c r="Q136" s="241"/>
      <c r="R136" s="239"/>
      <c r="S136" s="239"/>
      <c r="T136" s="239"/>
      <c r="U136" s="240"/>
      <c r="V136" s="238"/>
      <c r="W136" s="242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4"/>
      <c r="AN136" s="4"/>
    </row>
    <row r="137" ht="15.75" customHeight="1">
      <c r="A137" s="4"/>
      <c r="B137" s="4"/>
      <c r="C137" s="12"/>
      <c r="D137" s="4"/>
      <c r="E137" s="4"/>
      <c r="F137" s="4"/>
      <c r="G137" s="4"/>
      <c r="H137" s="4"/>
      <c r="I137" s="237"/>
      <c r="J137" s="238"/>
      <c r="K137" s="238"/>
      <c r="L137" s="239"/>
      <c r="M137" s="239"/>
      <c r="N137" s="239"/>
      <c r="O137" s="240"/>
      <c r="P137" s="238"/>
      <c r="Q137" s="241"/>
      <c r="R137" s="239"/>
      <c r="S137" s="239"/>
      <c r="T137" s="239"/>
      <c r="U137" s="240"/>
      <c r="V137" s="238"/>
      <c r="W137" s="242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4"/>
      <c r="AN137" s="4"/>
    </row>
    <row r="138" ht="15.75" customHeight="1">
      <c r="A138" s="4"/>
      <c r="B138" s="4"/>
      <c r="C138" s="12"/>
      <c r="D138" s="4"/>
      <c r="E138" s="4"/>
      <c r="F138" s="4"/>
      <c r="G138" s="4"/>
      <c r="H138" s="4"/>
      <c r="I138" s="237"/>
      <c r="J138" s="238"/>
      <c r="K138" s="238"/>
      <c r="L138" s="239"/>
      <c r="M138" s="239"/>
      <c r="N138" s="239"/>
      <c r="O138" s="240"/>
      <c r="P138" s="238"/>
      <c r="Q138" s="241"/>
      <c r="R138" s="239"/>
      <c r="S138" s="239"/>
      <c r="T138" s="239"/>
      <c r="U138" s="240"/>
      <c r="V138" s="238"/>
      <c r="W138" s="242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4"/>
      <c r="AN138" s="4"/>
    </row>
    <row r="139" ht="15.75" customHeight="1">
      <c r="A139" s="4"/>
      <c r="B139" s="4"/>
      <c r="C139" s="12"/>
      <c r="D139" s="4"/>
      <c r="E139" s="4"/>
      <c r="F139" s="4"/>
      <c r="G139" s="4"/>
      <c r="H139" s="4"/>
      <c r="I139" s="237"/>
      <c r="J139" s="238"/>
      <c r="K139" s="238"/>
      <c r="L139" s="239"/>
      <c r="M139" s="239"/>
      <c r="N139" s="239"/>
      <c r="O139" s="240"/>
      <c r="P139" s="238"/>
      <c r="Q139" s="241"/>
      <c r="R139" s="239"/>
      <c r="S139" s="239"/>
      <c r="T139" s="239"/>
      <c r="U139" s="240"/>
      <c r="V139" s="238"/>
      <c r="W139" s="242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4"/>
      <c r="AN139" s="4"/>
    </row>
    <row r="140" ht="15.75" customHeight="1">
      <c r="A140" s="4"/>
      <c r="B140" s="4"/>
      <c r="C140" s="12"/>
      <c r="D140" s="4"/>
      <c r="E140" s="4"/>
      <c r="F140" s="4"/>
      <c r="G140" s="4"/>
      <c r="H140" s="4"/>
      <c r="I140" s="237"/>
      <c r="J140" s="238"/>
      <c r="K140" s="238"/>
      <c r="L140" s="239"/>
      <c r="M140" s="239"/>
      <c r="N140" s="239"/>
      <c r="O140" s="240"/>
      <c r="P140" s="238"/>
      <c r="Q140" s="241"/>
      <c r="R140" s="239"/>
      <c r="S140" s="239"/>
      <c r="T140" s="239"/>
      <c r="U140" s="240"/>
      <c r="V140" s="238"/>
      <c r="W140" s="242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4"/>
      <c r="AN140" s="4"/>
    </row>
    <row r="141" ht="15.75" customHeight="1">
      <c r="A141" s="4"/>
      <c r="B141" s="4"/>
      <c r="C141" s="12"/>
      <c r="D141" s="4"/>
      <c r="E141" s="4"/>
      <c r="F141" s="4"/>
      <c r="G141" s="4"/>
      <c r="H141" s="4"/>
      <c r="I141" s="237"/>
      <c r="J141" s="238"/>
      <c r="K141" s="238"/>
      <c r="L141" s="239"/>
      <c r="M141" s="239"/>
      <c r="N141" s="239"/>
      <c r="O141" s="240"/>
      <c r="P141" s="238"/>
      <c r="Q141" s="241"/>
      <c r="R141" s="239"/>
      <c r="S141" s="239"/>
      <c r="T141" s="239"/>
      <c r="U141" s="240"/>
      <c r="V141" s="238"/>
      <c r="W141" s="242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4"/>
      <c r="AN141" s="4"/>
    </row>
    <row r="142" ht="15.75" customHeight="1">
      <c r="A142" s="4"/>
      <c r="B142" s="4"/>
      <c r="C142" s="12"/>
      <c r="D142" s="4"/>
      <c r="E142" s="4"/>
      <c r="F142" s="4"/>
      <c r="G142" s="4"/>
      <c r="H142" s="4"/>
      <c r="I142" s="237"/>
      <c r="J142" s="238"/>
      <c r="K142" s="238"/>
      <c r="L142" s="239"/>
      <c r="M142" s="239"/>
      <c r="N142" s="239"/>
      <c r="O142" s="240"/>
      <c r="P142" s="238"/>
      <c r="Q142" s="241"/>
      <c r="R142" s="239"/>
      <c r="S142" s="239"/>
      <c r="T142" s="239"/>
      <c r="U142" s="240"/>
      <c r="V142" s="238"/>
      <c r="W142" s="242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4"/>
      <c r="AN142" s="4"/>
    </row>
    <row r="143" ht="15.75" customHeight="1">
      <c r="A143" s="4"/>
      <c r="B143" s="4"/>
      <c r="C143" s="12"/>
      <c r="D143" s="4"/>
      <c r="E143" s="4"/>
      <c r="F143" s="4"/>
      <c r="G143" s="4"/>
      <c r="H143" s="4"/>
      <c r="I143" s="237"/>
      <c r="J143" s="238"/>
      <c r="K143" s="238"/>
      <c r="L143" s="239"/>
      <c r="M143" s="239"/>
      <c r="N143" s="239"/>
      <c r="O143" s="240"/>
      <c r="P143" s="238"/>
      <c r="Q143" s="241"/>
      <c r="R143" s="239"/>
      <c r="S143" s="239"/>
      <c r="T143" s="239"/>
      <c r="U143" s="240"/>
      <c r="V143" s="238"/>
      <c r="W143" s="242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4"/>
      <c r="AN143" s="4"/>
    </row>
    <row r="144" ht="15.75" customHeight="1">
      <c r="A144" s="4"/>
      <c r="B144" s="4"/>
      <c r="C144" s="12"/>
      <c r="D144" s="4"/>
      <c r="E144" s="4"/>
      <c r="F144" s="4"/>
      <c r="G144" s="4"/>
      <c r="H144" s="4"/>
      <c r="I144" s="237"/>
      <c r="J144" s="238"/>
      <c r="K144" s="238"/>
      <c r="L144" s="239"/>
      <c r="M144" s="239"/>
      <c r="N144" s="239"/>
      <c r="O144" s="240"/>
      <c r="P144" s="238"/>
      <c r="Q144" s="241"/>
      <c r="R144" s="239"/>
      <c r="S144" s="239"/>
      <c r="T144" s="239"/>
      <c r="U144" s="240"/>
      <c r="V144" s="238"/>
      <c r="W144" s="242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4"/>
      <c r="AN144" s="4"/>
    </row>
    <row r="145" ht="15.75" customHeight="1">
      <c r="A145" s="4"/>
      <c r="B145" s="4"/>
      <c r="C145" s="12"/>
      <c r="D145" s="4"/>
      <c r="E145" s="4"/>
      <c r="F145" s="4"/>
      <c r="G145" s="4"/>
      <c r="H145" s="4"/>
      <c r="I145" s="237"/>
      <c r="J145" s="238"/>
      <c r="K145" s="238"/>
      <c r="L145" s="239"/>
      <c r="M145" s="239"/>
      <c r="N145" s="239"/>
      <c r="O145" s="240"/>
      <c r="P145" s="238"/>
      <c r="Q145" s="241"/>
      <c r="R145" s="239"/>
      <c r="S145" s="239"/>
      <c r="T145" s="239"/>
      <c r="U145" s="240"/>
      <c r="V145" s="238"/>
      <c r="W145" s="242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4"/>
      <c r="AN145" s="4"/>
    </row>
    <row r="146" ht="15.75" customHeight="1">
      <c r="A146" s="4"/>
      <c r="B146" s="4"/>
      <c r="C146" s="12"/>
      <c r="D146" s="4"/>
      <c r="E146" s="4"/>
      <c r="F146" s="4"/>
      <c r="G146" s="4"/>
      <c r="H146" s="4"/>
      <c r="I146" s="237"/>
      <c r="J146" s="238"/>
      <c r="K146" s="238"/>
      <c r="L146" s="239"/>
      <c r="M146" s="239"/>
      <c r="N146" s="239"/>
      <c r="O146" s="240"/>
      <c r="P146" s="238"/>
      <c r="Q146" s="241"/>
      <c r="R146" s="239"/>
      <c r="S146" s="239"/>
      <c r="T146" s="239"/>
      <c r="U146" s="240"/>
      <c r="V146" s="238"/>
      <c r="W146" s="242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4"/>
      <c r="AN146" s="4"/>
    </row>
    <row r="147" ht="15.75" customHeight="1">
      <c r="A147" s="4"/>
      <c r="B147" s="4"/>
      <c r="C147" s="12"/>
      <c r="D147" s="4"/>
      <c r="E147" s="4"/>
      <c r="F147" s="4"/>
      <c r="G147" s="4"/>
      <c r="H147" s="4"/>
      <c r="I147" s="237"/>
      <c r="J147" s="238"/>
      <c r="K147" s="238"/>
      <c r="L147" s="239"/>
      <c r="M147" s="239"/>
      <c r="N147" s="239"/>
      <c r="O147" s="240"/>
      <c r="P147" s="238"/>
      <c r="Q147" s="241"/>
      <c r="R147" s="239"/>
      <c r="S147" s="239"/>
      <c r="T147" s="239"/>
      <c r="U147" s="240"/>
      <c r="V147" s="238"/>
      <c r="W147" s="242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4"/>
      <c r="AN147" s="4"/>
    </row>
    <row r="148" ht="15.75" customHeight="1">
      <c r="A148" s="4"/>
      <c r="B148" s="4"/>
      <c r="C148" s="12"/>
      <c r="D148" s="4"/>
      <c r="E148" s="4"/>
      <c r="F148" s="4"/>
      <c r="G148" s="4"/>
      <c r="H148" s="4"/>
      <c r="I148" s="237"/>
      <c r="J148" s="238"/>
      <c r="K148" s="238"/>
      <c r="L148" s="239"/>
      <c r="M148" s="239"/>
      <c r="N148" s="239"/>
      <c r="O148" s="240"/>
      <c r="P148" s="238"/>
      <c r="Q148" s="241"/>
      <c r="R148" s="239"/>
      <c r="S148" s="239"/>
      <c r="T148" s="239"/>
      <c r="U148" s="240"/>
      <c r="V148" s="238"/>
      <c r="W148" s="242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4"/>
      <c r="AN148" s="4"/>
    </row>
    <row r="149" ht="15.75" customHeight="1">
      <c r="A149" s="4"/>
      <c r="B149" s="4"/>
      <c r="C149" s="12"/>
      <c r="D149" s="4"/>
      <c r="E149" s="4"/>
      <c r="F149" s="4"/>
      <c r="G149" s="4"/>
      <c r="H149" s="4"/>
      <c r="I149" s="237"/>
      <c r="J149" s="238"/>
      <c r="K149" s="238"/>
      <c r="L149" s="239"/>
      <c r="M149" s="239"/>
      <c r="N149" s="239"/>
      <c r="O149" s="240"/>
      <c r="P149" s="238"/>
      <c r="Q149" s="241"/>
      <c r="R149" s="239"/>
      <c r="S149" s="239"/>
      <c r="T149" s="239"/>
      <c r="U149" s="240"/>
      <c r="V149" s="238"/>
      <c r="W149" s="242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4"/>
      <c r="AN149" s="4"/>
    </row>
    <row r="150" ht="15.75" customHeight="1">
      <c r="A150" s="4"/>
      <c r="B150" s="4"/>
      <c r="C150" s="12"/>
      <c r="D150" s="4"/>
      <c r="E150" s="4"/>
      <c r="F150" s="4"/>
      <c r="G150" s="4"/>
      <c r="H150" s="4"/>
      <c r="I150" s="237"/>
      <c r="J150" s="238"/>
      <c r="K150" s="238"/>
      <c r="L150" s="239"/>
      <c r="M150" s="239"/>
      <c r="N150" s="239"/>
      <c r="O150" s="240"/>
      <c r="P150" s="238"/>
      <c r="Q150" s="241"/>
      <c r="R150" s="239"/>
      <c r="S150" s="239"/>
      <c r="T150" s="239"/>
      <c r="U150" s="240"/>
      <c r="V150" s="238"/>
      <c r="W150" s="242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4"/>
      <c r="AN150" s="4"/>
    </row>
    <row r="151" ht="15.75" customHeight="1">
      <c r="A151" s="4"/>
      <c r="B151" s="4"/>
      <c r="C151" s="12"/>
      <c r="D151" s="4"/>
      <c r="E151" s="4"/>
      <c r="F151" s="4"/>
      <c r="G151" s="4"/>
      <c r="H151" s="4"/>
      <c r="I151" s="237"/>
      <c r="J151" s="238"/>
      <c r="K151" s="238"/>
      <c r="L151" s="239"/>
      <c r="M151" s="239"/>
      <c r="N151" s="239"/>
      <c r="O151" s="240"/>
      <c r="P151" s="238"/>
      <c r="Q151" s="241"/>
      <c r="R151" s="239"/>
      <c r="S151" s="239"/>
      <c r="T151" s="239"/>
      <c r="U151" s="240"/>
      <c r="V151" s="238"/>
      <c r="W151" s="242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4"/>
      <c r="AN151" s="4"/>
    </row>
    <row r="152" ht="15.75" customHeight="1">
      <c r="A152" s="4"/>
      <c r="B152" s="4"/>
      <c r="C152" s="12"/>
      <c r="D152" s="4"/>
      <c r="E152" s="4"/>
      <c r="F152" s="4"/>
      <c r="G152" s="4"/>
      <c r="H152" s="4"/>
      <c r="I152" s="237"/>
      <c r="J152" s="238"/>
      <c r="K152" s="238"/>
      <c r="L152" s="239"/>
      <c r="M152" s="239"/>
      <c r="N152" s="239"/>
      <c r="O152" s="240"/>
      <c r="P152" s="238"/>
      <c r="Q152" s="241"/>
      <c r="R152" s="239"/>
      <c r="S152" s="239"/>
      <c r="T152" s="239"/>
      <c r="U152" s="240"/>
      <c r="V152" s="238"/>
      <c r="W152" s="242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4"/>
      <c r="AN152" s="4"/>
    </row>
    <row r="153" ht="15.75" customHeight="1">
      <c r="A153" s="4"/>
      <c r="B153" s="4"/>
      <c r="C153" s="12"/>
      <c r="D153" s="4"/>
      <c r="E153" s="4"/>
      <c r="F153" s="4"/>
      <c r="G153" s="4"/>
      <c r="H153" s="4"/>
      <c r="I153" s="237"/>
      <c r="J153" s="238"/>
      <c r="K153" s="238"/>
      <c r="L153" s="239"/>
      <c r="M153" s="239"/>
      <c r="N153" s="239"/>
      <c r="O153" s="240"/>
      <c r="P153" s="238"/>
      <c r="Q153" s="241"/>
      <c r="R153" s="239"/>
      <c r="S153" s="239"/>
      <c r="T153" s="239"/>
      <c r="U153" s="240"/>
      <c r="V153" s="238"/>
      <c r="W153" s="242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4"/>
      <c r="AN153" s="4"/>
    </row>
    <row r="154" ht="15.75" customHeight="1">
      <c r="A154" s="4"/>
      <c r="B154" s="4"/>
      <c r="C154" s="12"/>
      <c r="D154" s="4"/>
      <c r="E154" s="4"/>
      <c r="F154" s="4"/>
      <c r="G154" s="4"/>
      <c r="H154" s="4"/>
      <c r="I154" s="237"/>
      <c r="J154" s="238"/>
      <c r="K154" s="238"/>
      <c r="L154" s="239"/>
      <c r="M154" s="239"/>
      <c r="N154" s="239"/>
      <c r="O154" s="240"/>
      <c r="P154" s="238"/>
      <c r="Q154" s="241"/>
      <c r="R154" s="239"/>
      <c r="S154" s="239"/>
      <c r="T154" s="239"/>
      <c r="U154" s="240"/>
      <c r="V154" s="238"/>
      <c r="W154" s="242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4"/>
      <c r="AN154" s="4"/>
    </row>
    <row r="155" ht="15.75" customHeight="1">
      <c r="A155" s="4"/>
      <c r="B155" s="4"/>
      <c r="C155" s="12"/>
      <c r="D155" s="4"/>
      <c r="E155" s="4"/>
      <c r="F155" s="4"/>
      <c r="G155" s="4"/>
      <c r="H155" s="4"/>
      <c r="I155" s="237"/>
      <c r="J155" s="238"/>
      <c r="K155" s="238"/>
      <c r="L155" s="239"/>
      <c r="M155" s="239"/>
      <c r="N155" s="239"/>
      <c r="O155" s="240"/>
      <c r="P155" s="238"/>
      <c r="Q155" s="241"/>
      <c r="R155" s="239"/>
      <c r="S155" s="239"/>
      <c r="T155" s="239"/>
      <c r="U155" s="240"/>
      <c r="V155" s="238"/>
      <c r="W155" s="242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4"/>
      <c r="AN155" s="4"/>
    </row>
    <row r="156" ht="15.75" customHeight="1">
      <c r="A156" s="4"/>
      <c r="B156" s="4"/>
      <c r="C156" s="12"/>
      <c r="D156" s="4"/>
      <c r="E156" s="4"/>
      <c r="F156" s="4"/>
      <c r="G156" s="4"/>
      <c r="H156" s="4"/>
      <c r="I156" s="237"/>
      <c r="J156" s="238"/>
      <c r="K156" s="238"/>
      <c r="L156" s="239"/>
      <c r="M156" s="239"/>
      <c r="N156" s="239"/>
      <c r="O156" s="240"/>
      <c r="P156" s="238"/>
      <c r="Q156" s="241"/>
      <c r="R156" s="239"/>
      <c r="S156" s="239"/>
      <c r="T156" s="239"/>
      <c r="U156" s="240"/>
      <c r="V156" s="238"/>
      <c r="W156" s="242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4"/>
      <c r="AN156" s="4"/>
    </row>
    <row r="157" ht="15.75" customHeight="1">
      <c r="A157" s="4"/>
      <c r="B157" s="4"/>
      <c r="C157" s="12"/>
      <c r="D157" s="4"/>
      <c r="E157" s="4"/>
      <c r="F157" s="4"/>
      <c r="G157" s="4"/>
      <c r="H157" s="4"/>
      <c r="I157" s="237"/>
      <c r="J157" s="238"/>
      <c r="K157" s="238"/>
      <c r="L157" s="239"/>
      <c r="M157" s="239"/>
      <c r="N157" s="239"/>
      <c r="O157" s="240"/>
      <c r="P157" s="238"/>
      <c r="Q157" s="241"/>
      <c r="R157" s="239"/>
      <c r="S157" s="239"/>
      <c r="T157" s="239"/>
      <c r="U157" s="240"/>
      <c r="V157" s="238"/>
      <c r="W157" s="242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4"/>
      <c r="AN157" s="4"/>
    </row>
    <row r="158" ht="15.75" customHeight="1">
      <c r="A158" s="4"/>
      <c r="B158" s="4"/>
      <c r="C158" s="12"/>
      <c r="D158" s="4"/>
      <c r="E158" s="4"/>
      <c r="F158" s="4"/>
      <c r="G158" s="4"/>
      <c r="H158" s="4"/>
      <c r="I158" s="237"/>
      <c r="J158" s="238"/>
      <c r="K158" s="238"/>
      <c r="L158" s="239"/>
      <c r="M158" s="239"/>
      <c r="N158" s="239"/>
      <c r="O158" s="240"/>
      <c r="P158" s="238"/>
      <c r="Q158" s="241"/>
      <c r="R158" s="239"/>
      <c r="S158" s="239"/>
      <c r="T158" s="239"/>
      <c r="U158" s="240"/>
      <c r="V158" s="238"/>
      <c r="W158" s="242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4"/>
      <c r="AN158" s="4"/>
    </row>
    <row r="159" ht="15.75" customHeight="1">
      <c r="A159" s="4"/>
      <c r="B159" s="4"/>
      <c r="C159" s="12"/>
      <c r="D159" s="4"/>
      <c r="E159" s="4"/>
      <c r="F159" s="4"/>
      <c r="G159" s="4"/>
      <c r="H159" s="4"/>
      <c r="I159" s="237"/>
      <c r="J159" s="238"/>
      <c r="K159" s="238"/>
      <c r="L159" s="239"/>
      <c r="M159" s="239"/>
      <c r="N159" s="239"/>
      <c r="O159" s="240"/>
      <c r="P159" s="238"/>
      <c r="Q159" s="241"/>
      <c r="R159" s="239"/>
      <c r="S159" s="239"/>
      <c r="T159" s="239"/>
      <c r="U159" s="240"/>
      <c r="V159" s="238"/>
      <c r="W159" s="242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4"/>
      <c r="AN159" s="4"/>
    </row>
    <row r="160" ht="15.75" customHeight="1">
      <c r="A160" s="4"/>
      <c r="B160" s="4"/>
      <c r="C160" s="12"/>
      <c r="D160" s="4"/>
      <c r="E160" s="4"/>
      <c r="F160" s="4"/>
      <c r="G160" s="4"/>
      <c r="H160" s="4"/>
      <c r="I160" s="237"/>
      <c r="J160" s="238"/>
      <c r="K160" s="238"/>
      <c r="L160" s="239"/>
      <c r="M160" s="239"/>
      <c r="N160" s="239"/>
      <c r="O160" s="240"/>
      <c r="P160" s="238"/>
      <c r="Q160" s="241"/>
      <c r="R160" s="239"/>
      <c r="S160" s="239"/>
      <c r="T160" s="239"/>
      <c r="U160" s="240"/>
      <c r="V160" s="238"/>
      <c r="W160" s="242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4"/>
      <c r="AN160" s="4"/>
    </row>
    <row r="161" ht="15.75" customHeight="1">
      <c r="A161" s="4"/>
      <c r="B161" s="4"/>
      <c r="C161" s="12"/>
      <c r="D161" s="4"/>
      <c r="E161" s="4"/>
      <c r="F161" s="4"/>
      <c r="G161" s="4"/>
      <c r="H161" s="4"/>
      <c r="I161" s="237"/>
      <c r="J161" s="238"/>
      <c r="K161" s="238"/>
      <c r="L161" s="239"/>
      <c r="M161" s="239"/>
      <c r="N161" s="239"/>
      <c r="O161" s="240"/>
      <c r="P161" s="238"/>
      <c r="Q161" s="241"/>
      <c r="R161" s="239"/>
      <c r="S161" s="239"/>
      <c r="T161" s="239"/>
      <c r="U161" s="240"/>
      <c r="V161" s="238"/>
      <c r="W161" s="242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4"/>
      <c r="AN161" s="4"/>
    </row>
    <row r="162" ht="15.75" customHeight="1">
      <c r="A162" s="4"/>
      <c r="B162" s="4"/>
      <c r="C162" s="12"/>
      <c r="D162" s="4"/>
      <c r="E162" s="4"/>
      <c r="F162" s="4"/>
      <c r="G162" s="4"/>
      <c r="H162" s="4"/>
      <c r="I162" s="237"/>
      <c r="J162" s="238"/>
      <c r="K162" s="238"/>
      <c r="L162" s="239"/>
      <c r="M162" s="239"/>
      <c r="N162" s="239"/>
      <c r="O162" s="240"/>
      <c r="P162" s="238"/>
      <c r="Q162" s="241"/>
      <c r="R162" s="239"/>
      <c r="S162" s="239"/>
      <c r="T162" s="239"/>
      <c r="U162" s="240"/>
      <c r="V162" s="238"/>
      <c r="W162" s="242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4"/>
      <c r="AN162" s="4"/>
    </row>
    <row r="163" ht="15.75" customHeight="1">
      <c r="A163" s="4"/>
      <c r="B163" s="4"/>
      <c r="C163" s="12"/>
      <c r="D163" s="4"/>
      <c r="E163" s="4"/>
      <c r="F163" s="4"/>
      <c r="G163" s="4"/>
      <c r="H163" s="4"/>
      <c r="I163" s="237"/>
      <c r="J163" s="238"/>
      <c r="K163" s="238"/>
      <c r="L163" s="239"/>
      <c r="M163" s="239"/>
      <c r="N163" s="239"/>
      <c r="O163" s="240"/>
      <c r="P163" s="238"/>
      <c r="Q163" s="241"/>
      <c r="R163" s="239"/>
      <c r="S163" s="239"/>
      <c r="T163" s="239"/>
      <c r="U163" s="240"/>
      <c r="V163" s="238"/>
      <c r="W163" s="242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4"/>
      <c r="AN163" s="4"/>
    </row>
    <row r="164" ht="15.75" customHeight="1">
      <c r="A164" s="4"/>
      <c r="B164" s="4"/>
      <c r="C164" s="12"/>
      <c r="D164" s="4"/>
      <c r="E164" s="4"/>
      <c r="F164" s="4"/>
      <c r="G164" s="4"/>
      <c r="H164" s="4"/>
      <c r="I164" s="237"/>
      <c r="J164" s="238"/>
      <c r="K164" s="238"/>
      <c r="L164" s="239"/>
      <c r="M164" s="239"/>
      <c r="N164" s="239"/>
      <c r="O164" s="240"/>
      <c r="P164" s="238"/>
      <c r="Q164" s="241"/>
      <c r="R164" s="239"/>
      <c r="S164" s="239"/>
      <c r="T164" s="239"/>
      <c r="U164" s="240"/>
      <c r="V164" s="238"/>
      <c r="W164" s="242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4"/>
      <c r="AN164" s="4"/>
    </row>
    <row r="165" ht="15.75" customHeight="1">
      <c r="A165" s="4"/>
      <c r="B165" s="4"/>
      <c r="C165" s="12"/>
      <c r="D165" s="4"/>
      <c r="E165" s="4"/>
      <c r="F165" s="4"/>
      <c r="G165" s="4"/>
      <c r="H165" s="4"/>
      <c r="I165" s="237"/>
      <c r="J165" s="238"/>
      <c r="K165" s="238"/>
      <c r="L165" s="239"/>
      <c r="M165" s="239"/>
      <c r="N165" s="239"/>
      <c r="O165" s="240"/>
      <c r="P165" s="238"/>
      <c r="Q165" s="241"/>
      <c r="R165" s="239"/>
      <c r="S165" s="239"/>
      <c r="T165" s="239"/>
      <c r="U165" s="240"/>
      <c r="V165" s="238"/>
      <c r="W165" s="242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4"/>
      <c r="AN165" s="4"/>
    </row>
    <row r="166" ht="15.75" customHeight="1">
      <c r="A166" s="4"/>
      <c r="B166" s="4"/>
      <c r="C166" s="12"/>
      <c r="D166" s="4"/>
      <c r="E166" s="4"/>
      <c r="F166" s="4"/>
      <c r="G166" s="4"/>
      <c r="H166" s="4"/>
      <c r="I166" s="237"/>
      <c r="J166" s="238"/>
      <c r="K166" s="238"/>
      <c r="L166" s="239"/>
      <c r="M166" s="239"/>
      <c r="N166" s="239"/>
      <c r="O166" s="240"/>
      <c r="P166" s="238"/>
      <c r="Q166" s="241"/>
      <c r="R166" s="239"/>
      <c r="S166" s="239"/>
      <c r="T166" s="239"/>
      <c r="U166" s="240"/>
      <c r="V166" s="238"/>
      <c r="W166" s="242"/>
      <c r="X166" s="239"/>
      <c r="Y166" s="239"/>
      <c r="Z166" s="239"/>
      <c r="AA166" s="239"/>
      <c r="AB166" s="239"/>
      <c r="AC166" s="239"/>
      <c r="AD166" s="239"/>
      <c r="AE166" s="239"/>
      <c r="AF166" s="239"/>
      <c r="AG166" s="239"/>
      <c r="AH166" s="239"/>
      <c r="AI166" s="239"/>
      <c r="AJ166" s="239"/>
      <c r="AK166" s="239"/>
      <c r="AL166" s="239"/>
      <c r="AM166" s="4"/>
      <c r="AN166" s="4"/>
    </row>
    <row r="167" ht="15.75" customHeight="1">
      <c r="A167" s="4"/>
      <c r="B167" s="4"/>
      <c r="C167" s="12"/>
      <c r="D167" s="4"/>
      <c r="E167" s="4"/>
      <c r="F167" s="4"/>
      <c r="G167" s="4"/>
      <c r="H167" s="4"/>
      <c r="I167" s="237"/>
      <c r="J167" s="238"/>
      <c r="K167" s="238"/>
      <c r="L167" s="239"/>
      <c r="M167" s="239"/>
      <c r="N167" s="239"/>
      <c r="O167" s="240"/>
      <c r="P167" s="238"/>
      <c r="Q167" s="241"/>
      <c r="R167" s="239"/>
      <c r="S167" s="239"/>
      <c r="T167" s="239"/>
      <c r="U167" s="240"/>
      <c r="V167" s="238"/>
      <c r="W167" s="242"/>
      <c r="X167" s="239"/>
      <c r="Y167" s="239"/>
      <c r="Z167" s="239"/>
      <c r="AA167" s="239"/>
      <c r="AB167" s="239"/>
      <c r="AC167" s="239"/>
      <c r="AD167" s="239"/>
      <c r="AE167" s="239"/>
      <c r="AF167" s="239"/>
      <c r="AG167" s="239"/>
      <c r="AH167" s="239"/>
      <c r="AI167" s="239"/>
      <c r="AJ167" s="239"/>
      <c r="AK167" s="239"/>
      <c r="AL167" s="239"/>
      <c r="AM167" s="4"/>
      <c r="AN167" s="4"/>
    </row>
    <row r="168" ht="15.75" customHeight="1">
      <c r="A168" s="4"/>
      <c r="B168" s="4"/>
      <c r="C168" s="12"/>
      <c r="D168" s="4"/>
      <c r="E168" s="4"/>
      <c r="F168" s="4"/>
      <c r="G168" s="4"/>
      <c r="H168" s="4"/>
      <c r="I168" s="237"/>
      <c r="J168" s="238"/>
      <c r="K168" s="238"/>
      <c r="L168" s="239"/>
      <c r="M168" s="239"/>
      <c r="N168" s="239"/>
      <c r="O168" s="240"/>
      <c r="P168" s="238"/>
      <c r="Q168" s="241"/>
      <c r="R168" s="239"/>
      <c r="S168" s="239"/>
      <c r="T168" s="239"/>
      <c r="U168" s="240"/>
      <c r="V168" s="238"/>
      <c r="W168" s="242"/>
      <c r="X168" s="239"/>
      <c r="Y168" s="239"/>
      <c r="Z168" s="239"/>
      <c r="AA168" s="239"/>
      <c r="AB168" s="239"/>
      <c r="AC168" s="239"/>
      <c r="AD168" s="239"/>
      <c r="AE168" s="239"/>
      <c r="AF168" s="239"/>
      <c r="AG168" s="239"/>
      <c r="AH168" s="239"/>
      <c r="AI168" s="239"/>
      <c r="AJ168" s="239"/>
      <c r="AK168" s="239"/>
      <c r="AL168" s="239"/>
      <c r="AM168" s="4"/>
      <c r="AN168" s="4"/>
    </row>
    <row r="169" ht="15.75" customHeight="1">
      <c r="A169" s="4"/>
      <c r="B169" s="4"/>
      <c r="C169" s="12"/>
      <c r="D169" s="4"/>
      <c r="E169" s="4"/>
      <c r="F169" s="4"/>
      <c r="G169" s="4"/>
      <c r="H169" s="4"/>
      <c r="I169" s="237"/>
      <c r="J169" s="238"/>
      <c r="K169" s="238"/>
      <c r="L169" s="239"/>
      <c r="M169" s="239"/>
      <c r="N169" s="239"/>
      <c r="O169" s="240"/>
      <c r="P169" s="238"/>
      <c r="Q169" s="241"/>
      <c r="R169" s="239"/>
      <c r="S169" s="239"/>
      <c r="T169" s="239"/>
      <c r="U169" s="240"/>
      <c r="V169" s="238"/>
      <c r="W169" s="242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  <c r="AM169" s="4"/>
      <c r="AN169" s="4"/>
    </row>
    <row r="170" ht="15.75" customHeight="1">
      <c r="A170" s="4"/>
      <c r="B170" s="4"/>
      <c r="C170" s="12"/>
      <c r="D170" s="4"/>
      <c r="E170" s="4"/>
      <c r="F170" s="4"/>
      <c r="G170" s="4"/>
      <c r="H170" s="4"/>
      <c r="I170" s="237"/>
      <c r="J170" s="238"/>
      <c r="K170" s="238"/>
      <c r="L170" s="239"/>
      <c r="M170" s="239"/>
      <c r="N170" s="239"/>
      <c r="O170" s="240"/>
      <c r="P170" s="238"/>
      <c r="Q170" s="241"/>
      <c r="R170" s="239"/>
      <c r="S170" s="239"/>
      <c r="T170" s="239"/>
      <c r="U170" s="240"/>
      <c r="V170" s="238"/>
      <c r="W170" s="242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4"/>
      <c r="AN170" s="4"/>
    </row>
    <row r="171" ht="15.75" customHeight="1">
      <c r="A171" s="4"/>
      <c r="B171" s="4"/>
      <c r="C171" s="12"/>
      <c r="D171" s="4"/>
      <c r="E171" s="4"/>
      <c r="F171" s="4"/>
      <c r="G171" s="4"/>
      <c r="H171" s="4"/>
      <c r="I171" s="237"/>
      <c r="J171" s="238"/>
      <c r="K171" s="238"/>
      <c r="L171" s="239"/>
      <c r="M171" s="239"/>
      <c r="N171" s="239"/>
      <c r="O171" s="240"/>
      <c r="P171" s="238"/>
      <c r="Q171" s="241"/>
      <c r="R171" s="239"/>
      <c r="S171" s="239"/>
      <c r="T171" s="239"/>
      <c r="U171" s="240"/>
      <c r="V171" s="238"/>
      <c r="W171" s="242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4"/>
      <c r="AN171" s="4"/>
    </row>
    <row r="172" ht="15.75" customHeight="1">
      <c r="A172" s="4"/>
      <c r="B172" s="4"/>
      <c r="C172" s="12"/>
      <c r="D172" s="4"/>
      <c r="E172" s="4"/>
      <c r="F172" s="4"/>
      <c r="G172" s="4"/>
      <c r="H172" s="4"/>
      <c r="I172" s="237"/>
      <c r="J172" s="238"/>
      <c r="K172" s="238"/>
      <c r="L172" s="239"/>
      <c r="M172" s="239"/>
      <c r="N172" s="239"/>
      <c r="O172" s="240"/>
      <c r="P172" s="238"/>
      <c r="Q172" s="241"/>
      <c r="R172" s="239"/>
      <c r="S172" s="239"/>
      <c r="T172" s="239"/>
      <c r="U172" s="240"/>
      <c r="V172" s="238"/>
      <c r="W172" s="242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4"/>
      <c r="AN172" s="4"/>
    </row>
    <row r="173" ht="15.75" customHeight="1">
      <c r="A173" s="4"/>
      <c r="B173" s="4"/>
      <c r="C173" s="12"/>
      <c r="D173" s="4"/>
      <c r="E173" s="4"/>
      <c r="F173" s="4"/>
      <c r="G173" s="4"/>
      <c r="H173" s="4"/>
      <c r="I173" s="237"/>
      <c r="J173" s="238"/>
      <c r="K173" s="238"/>
      <c r="L173" s="239"/>
      <c r="M173" s="239"/>
      <c r="N173" s="239"/>
      <c r="O173" s="240"/>
      <c r="P173" s="238"/>
      <c r="Q173" s="241"/>
      <c r="R173" s="239"/>
      <c r="S173" s="239"/>
      <c r="T173" s="239"/>
      <c r="U173" s="240"/>
      <c r="V173" s="238"/>
      <c r="W173" s="242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4"/>
      <c r="AN173" s="4"/>
    </row>
    <row r="174" ht="15.75" customHeight="1">
      <c r="A174" s="4"/>
      <c r="B174" s="4"/>
      <c r="C174" s="12"/>
      <c r="D174" s="4"/>
      <c r="E174" s="4"/>
      <c r="F174" s="4"/>
      <c r="G174" s="4"/>
      <c r="H174" s="4"/>
      <c r="I174" s="237"/>
      <c r="J174" s="238"/>
      <c r="K174" s="238"/>
      <c r="L174" s="239"/>
      <c r="M174" s="239"/>
      <c r="N174" s="239"/>
      <c r="O174" s="240"/>
      <c r="P174" s="238"/>
      <c r="Q174" s="241"/>
      <c r="R174" s="239"/>
      <c r="S174" s="239"/>
      <c r="T174" s="239"/>
      <c r="U174" s="240"/>
      <c r="V174" s="238"/>
      <c r="W174" s="242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4"/>
      <c r="AN174" s="4"/>
    </row>
    <row r="175" ht="15.75" customHeight="1">
      <c r="A175" s="4"/>
      <c r="B175" s="4"/>
      <c r="C175" s="12"/>
      <c r="D175" s="4"/>
      <c r="E175" s="4"/>
      <c r="F175" s="4"/>
      <c r="G175" s="4"/>
      <c r="H175" s="4"/>
      <c r="I175" s="237"/>
      <c r="J175" s="238"/>
      <c r="K175" s="238"/>
      <c r="L175" s="239"/>
      <c r="M175" s="239"/>
      <c r="N175" s="239"/>
      <c r="O175" s="240"/>
      <c r="P175" s="238"/>
      <c r="Q175" s="241"/>
      <c r="R175" s="239"/>
      <c r="S175" s="239"/>
      <c r="T175" s="239"/>
      <c r="U175" s="240"/>
      <c r="V175" s="238"/>
      <c r="W175" s="242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4"/>
      <c r="AN175" s="4"/>
    </row>
    <row r="176" ht="15.75" customHeight="1">
      <c r="A176" s="4"/>
      <c r="B176" s="4"/>
      <c r="C176" s="12"/>
      <c r="D176" s="4"/>
      <c r="E176" s="4"/>
      <c r="F176" s="4"/>
      <c r="G176" s="4"/>
      <c r="H176" s="4"/>
      <c r="I176" s="237"/>
      <c r="J176" s="238"/>
      <c r="K176" s="238"/>
      <c r="L176" s="239"/>
      <c r="M176" s="239"/>
      <c r="N176" s="239"/>
      <c r="O176" s="240"/>
      <c r="P176" s="238"/>
      <c r="Q176" s="241"/>
      <c r="R176" s="239"/>
      <c r="S176" s="239"/>
      <c r="T176" s="239"/>
      <c r="U176" s="240"/>
      <c r="V176" s="238"/>
      <c r="W176" s="242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4"/>
      <c r="AN176" s="4"/>
    </row>
    <row r="177" ht="15.75" customHeight="1">
      <c r="A177" s="4"/>
      <c r="B177" s="4"/>
      <c r="C177" s="12"/>
      <c r="D177" s="4"/>
      <c r="E177" s="4"/>
      <c r="F177" s="4"/>
      <c r="G177" s="4"/>
      <c r="H177" s="4"/>
      <c r="I177" s="237"/>
      <c r="J177" s="238"/>
      <c r="K177" s="238"/>
      <c r="L177" s="239"/>
      <c r="M177" s="239"/>
      <c r="N177" s="239"/>
      <c r="O177" s="240"/>
      <c r="P177" s="238"/>
      <c r="Q177" s="241"/>
      <c r="R177" s="239"/>
      <c r="S177" s="239"/>
      <c r="T177" s="239"/>
      <c r="U177" s="240"/>
      <c r="V177" s="238"/>
      <c r="W177" s="242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4"/>
      <c r="AN177" s="4"/>
    </row>
    <row r="178" ht="15.75" customHeight="1">
      <c r="A178" s="4"/>
      <c r="B178" s="4"/>
      <c r="C178" s="12"/>
      <c r="D178" s="4"/>
      <c r="E178" s="4"/>
      <c r="F178" s="4"/>
      <c r="G178" s="4"/>
      <c r="H178" s="4"/>
      <c r="I178" s="237"/>
      <c r="J178" s="238"/>
      <c r="K178" s="238"/>
      <c r="L178" s="239"/>
      <c r="M178" s="239"/>
      <c r="N178" s="239"/>
      <c r="O178" s="240"/>
      <c r="P178" s="238"/>
      <c r="Q178" s="241"/>
      <c r="R178" s="239"/>
      <c r="S178" s="239"/>
      <c r="T178" s="239"/>
      <c r="U178" s="240"/>
      <c r="V178" s="238"/>
      <c r="W178" s="242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4"/>
      <c r="AN178" s="4"/>
    </row>
    <row r="179" ht="15.75" customHeight="1">
      <c r="A179" s="4"/>
      <c r="B179" s="4"/>
      <c r="C179" s="12"/>
      <c r="D179" s="4"/>
      <c r="E179" s="4"/>
      <c r="F179" s="4"/>
      <c r="G179" s="4"/>
      <c r="H179" s="4"/>
      <c r="I179" s="237"/>
      <c r="J179" s="238"/>
      <c r="K179" s="238"/>
      <c r="L179" s="239"/>
      <c r="M179" s="239"/>
      <c r="N179" s="239"/>
      <c r="O179" s="240"/>
      <c r="P179" s="238"/>
      <c r="Q179" s="241"/>
      <c r="R179" s="239"/>
      <c r="S179" s="239"/>
      <c r="T179" s="239"/>
      <c r="U179" s="240"/>
      <c r="V179" s="238"/>
      <c r="W179" s="242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4"/>
      <c r="AN179" s="4"/>
    </row>
    <row r="180" ht="15.75" customHeight="1">
      <c r="A180" s="4"/>
      <c r="B180" s="4"/>
      <c r="C180" s="12"/>
      <c r="D180" s="4"/>
      <c r="E180" s="4"/>
      <c r="F180" s="4"/>
      <c r="G180" s="4"/>
      <c r="H180" s="4"/>
      <c r="I180" s="237"/>
      <c r="J180" s="238"/>
      <c r="K180" s="238"/>
      <c r="L180" s="239"/>
      <c r="M180" s="239"/>
      <c r="N180" s="239"/>
      <c r="O180" s="240"/>
      <c r="P180" s="238"/>
      <c r="Q180" s="241"/>
      <c r="R180" s="239"/>
      <c r="S180" s="239"/>
      <c r="T180" s="239"/>
      <c r="U180" s="240"/>
      <c r="V180" s="238"/>
      <c r="W180" s="242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4"/>
      <c r="AN180" s="4"/>
    </row>
    <row r="181" ht="15.75" customHeight="1">
      <c r="A181" s="4"/>
      <c r="B181" s="4"/>
      <c r="C181" s="12"/>
      <c r="D181" s="4"/>
      <c r="E181" s="4"/>
      <c r="F181" s="4"/>
      <c r="G181" s="4"/>
      <c r="H181" s="4"/>
      <c r="I181" s="237"/>
      <c r="J181" s="238"/>
      <c r="K181" s="238"/>
      <c r="L181" s="239"/>
      <c r="M181" s="239"/>
      <c r="N181" s="239"/>
      <c r="O181" s="240"/>
      <c r="P181" s="238"/>
      <c r="Q181" s="241"/>
      <c r="R181" s="239"/>
      <c r="S181" s="239"/>
      <c r="T181" s="239"/>
      <c r="U181" s="240"/>
      <c r="V181" s="238"/>
      <c r="W181" s="242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4"/>
      <c r="AN181" s="4"/>
    </row>
    <row r="182" ht="15.75" customHeight="1">
      <c r="A182" s="4"/>
      <c r="B182" s="4"/>
      <c r="C182" s="12"/>
      <c r="D182" s="4"/>
      <c r="E182" s="4"/>
      <c r="F182" s="4"/>
      <c r="G182" s="4"/>
      <c r="H182" s="4"/>
      <c r="I182" s="237"/>
      <c r="J182" s="238"/>
      <c r="K182" s="238"/>
      <c r="L182" s="239"/>
      <c r="M182" s="239"/>
      <c r="N182" s="239"/>
      <c r="O182" s="240"/>
      <c r="P182" s="238"/>
      <c r="Q182" s="241"/>
      <c r="R182" s="239"/>
      <c r="S182" s="239"/>
      <c r="T182" s="239"/>
      <c r="U182" s="240"/>
      <c r="V182" s="238"/>
      <c r="W182" s="242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4"/>
      <c r="AN182" s="4"/>
    </row>
    <row r="183" ht="15.75" customHeight="1">
      <c r="A183" s="4"/>
      <c r="B183" s="4"/>
      <c r="C183" s="12"/>
      <c r="D183" s="4"/>
      <c r="E183" s="4"/>
      <c r="F183" s="4"/>
      <c r="G183" s="4"/>
      <c r="H183" s="4"/>
      <c r="I183" s="237"/>
      <c r="J183" s="238"/>
      <c r="K183" s="238"/>
      <c r="L183" s="239"/>
      <c r="M183" s="239"/>
      <c r="N183" s="239"/>
      <c r="O183" s="240"/>
      <c r="P183" s="238"/>
      <c r="Q183" s="241"/>
      <c r="R183" s="239"/>
      <c r="S183" s="239"/>
      <c r="T183" s="239"/>
      <c r="U183" s="240"/>
      <c r="V183" s="238"/>
      <c r="W183" s="242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4"/>
      <c r="AN183" s="4"/>
    </row>
    <row r="184" ht="15.75" customHeight="1">
      <c r="A184" s="4"/>
      <c r="B184" s="4"/>
      <c r="C184" s="12"/>
      <c r="D184" s="4"/>
      <c r="E184" s="4"/>
      <c r="F184" s="4"/>
      <c r="G184" s="4"/>
      <c r="H184" s="4"/>
      <c r="I184" s="237"/>
      <c r="J184" s="238"/>
      <c r="K184" s="238"/>
      <c r="L184" s="239"/>
      <c r="M184" s="239"/>
      <c r="N184" s="239"/>
      <c r="O184" s="240"/>
      <c r="P184" s="238"/>
      <c r="Q184" s="241"/>
      <c r="R184" s="239"/>
      <c r="S184" s="239"/>
      <c r="T184" s="239"/>
      <c r="U184" s="240"/>
      <c r="V184" s="238"/>
      <c r="W184" s="242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4"/>
      <c r="AN184" s="4"/>
    </row>
    <row r="185" ht="15.75" customHeight="1">
      <c r="A185" s="4"/>
      <c r="B185" s="4"/>
      <c r="C185" s="12"/>
      <c r="D185" s="4"/>
      <c r="E185" s="4"/>
      <c r="F185" s="4"/>
      <c r="G185" s="4"/>
      <c r="H185" s="4"/>
      <c r="I185" s="237"/>
      <c r="J185" s="238"/>
      <c r="K185" s="238"/>
      <c r="L185" s="239"/>
      <c r="M185" s="239"/>
      <c r="N185" s="239"/>
      <c r="O185" s="240"/>
      <c r="P185" s="238"/>
      <c r="Q185" s="241"/>
      <c r="R185" s="239"/>
      <c r="S185" s="239"/>
      <c r="T185" s="239"/>
      <c r="U185" s="240"/>
      <c r="V185" s="238"/>
      <c r="W185" s="242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4"/>
      <c r="AN185" s="4"/>
    </row>
    <row r="186" ht="15.75" customHeight="1">
      <c r="A186" s="4"/>
      <c r="B186" s="4"/>
      <c r="C186" s="12"/>
      <c r="D186" s="4"/>
      <c r="E186" s="4"/>
      <c r="F186" s="4"/>
      <c r="G186" s="4"/>
      <c r="H186" s="4"/>
      <c r="I186" s="237"/>
      <c r="J186" s="238"/>
      <c r="K186" s="238"/>
      <c r="L186" s="239"/>
      <c r="M186" s="239"/>
      <c r="N186" s="239"/>
      <c r="O186" s="240"/>
      <c r="P186" s="238"/>
      <c r="Q186" s="241"/>
      <c r="R186" s="239"/>
      <c r="S186" s="239"/>
      <c r="T186" s="239"/>
      <c r="U186" s="240"/>
      <c r="V186" s="238"/>
      <c r="W186" s="242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4"/>
      <c r="AN186" s="4"/>
    </row>
    <row r="187" ht="15.75" customHeight="1">
      <c r="A187" s="4"/>
      <c r="B187" s="4"/>
      <c r="C187" s="12"/>
      <c r="D187" s="4"/>
      <c r="E187" s="4"/>
      <c r="F187" s="4"/>
      <c r="G187" s="4"/>
      <c r="H187" s="4"/>
      <c r="I187" s="237"/>
      <c r="J187" s="238"/>
      <c r="K187" s="238"/>
      <c r="L187" s="239"/>
      <c r="M187" s="239"/>
      <c r="N187" s="239"/>
      <c r="O187" s="240"/>
      <c r="P187" s="238"/>
      <c r="Q187" s="241"/>
      <c r="R187" s="239"/>
      <c r="S187" s="239"/>
      <c r="T187" s="239"/>
      <c r="U187" s="240"/>
      <c r="V187" s="238"/>
      <c r="W187" s="242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4"/>
      <c r="AN187" s="4"/>
    </row>
    <row r="188" ht="15.75" customHeight="1">
      <c r="A188" s="4"/>
      <c r="B188" s="4"/>
      <c r="C188" s="12"/>
      <c r="D188" s="4"/>
      <c r="E188" s="4"/>
      <c r="F188" s="4"/>
      <c r="G188" s="4"/>
      <c r="H188" s="4"/>
      <c r="I188" s="237"/>
      <c r="J188" s="238"/>
      <c r="K188" s="238"/>
      <c r="L188" s="239"/>
      <c r="M188" s="239"/>
      <c r="N188" s="239"/>
      <c r="O188" s="240"/>
      <c r="P188" s="238"/>
      <c r="Q188" s="241"/>
      <c r="R188" s="239"/>
      <c r="S188" s="239"/>
      <c r="T188" s="239"/>
      <c r="U188" s="240"/>
      <c r="V188" s="238"/>
      <c r="W188" s="242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4"/>
      <c r="AN188" s="4"/>
    </row>
    <row r="189" ht="15.75" customHeight="1">
      <c r="A189" s="4"/>
      <c r="B189" s="4"/>
      <c r="C189" s="12"/>
      <c r="D189" s="4"/>
      <c r="E189" s="4"/>
      <c r="F189" s="4"/>
      <c r="G189" s="4"/>
      <c r="H189" s="4"/>
      <c r="I189" s="237"/>
      <c r="J189" s="238"/>
      <c r="K189" s="238"/>
      <c r="L189" s="239"/>
      <c r="M189" s="239"/>
      <c r="N189" s="239"/>
      <c r="O189" s="240"/>
      <c r="P189" s="238"/>
      <c r="Q189" s="241"/>
      <c r="R189" s="239"/>
      <c r="S189" s="239"/>
      <c r="T189" s="239"/>
      <c r="U189" s="240"/>
      <c r="V189" s="238"/>
      <c r="W189" s="242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4"/>
      <c r="AN189" s="4"/>
    </row>
    <row r="190" ht="15.75" customHeight="1">
      <c r="A190" s="4"/>
      <c r="B190" s="4"/>
      <c r="C190" s="12"/>
      <c r="D190" s="4"/>
      <c r="E190" s="4"/>
      <c r="F190" s="4"/>
      <c r="G190" s="4"/>
      <c r="H190" s="4"/>
      <c r="I190" s="237"/>
      <c r="J190" s="238"/>
      <c r="K190" s="238"/>
      <c r="L190" s="239"/>
      <c r="M190" s="239"/>
      <c r="N190" s="239"/>
      <c r="O190" s="240"/>
      <c r="P190" s="238"/>
      <c r="Q190" s="241"/>
      <c r="R190" s="239"/>
      <c r="S190" s="239"/>
      <c r="T190" s="239"/>
      <c r="U190" s="240"/>
      <c r="V190" s="238"/>
      <c r="W190" s="242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4"/>
      <c r="AN190" s="4"/>
    </row>
    <row r="191" ht="15.75" customHeight="1">
      <c r="A191" s="4"/>
      <c r="B191" s="4"/>
      <c r="C191" s="12"/>
      <c r="D191" s="4"/>
      <c r="E191" s="4"/>
      <c r="F191" s="4"/>
      <c r="G191" s="4"/>
      <c r="H191" s="4"/>
      <c r="I191" s="237"/>
      <c r="J191" s="238"/>
      <c r="K191" s="238"/>
      <c r="L191" s="239"/>
      <c r="M191" s="239"/>
      <c r="N191" s="239"/>
      <c r="O191" s="240"/>
      <c r="P191" s="238"/>
      <c r="Q191" s="241"/>
      <c r="R191" s="239"/>
      <c r="S191" s="239"/>
      <c r="T191" s="239"/>
      <c r="U191" s="240"/>
      <c r="V191" s="238"/>
      <c r="W191" s="242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4"/>
      <c r="AN191" s="4"/>
    </row>
    <row r="192" ht="15.75" customHeight="1">
      <c r="A192" s="4"/>
      <c r="B192" s="4"/>
      <c r="C192" s="12"/>
      <c r="D192" s="4"/>
      <c r="E192" s="4"/>
      <c r="F192" s="4"/>
      <c r="G192" s="4"/>
      <c r="H192" s="4"/>
      <c r="I192" s="237"/>
      <c r="J192" s="238"/>
      <c r="K192" s="238"/>
      <c r="L192" s="239"/>
      <c r="M192" s="239"/>
      <c r="N192" s="239"/>
      <c r="O192" s="240"/>
      <c r="P192" s="238"/>
      <c r="Q192" s="241"/>
      <c r="R192" s="239"/>
      <c r="S192" s="239"/>
      <c r="T192" s="239"/>
      <c r="U192" s="240"/>
      <c r="V192" s="238"/>
      <c r="W192" s="242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4"/>
      <c r="AN192" s="4"/>
    </row>
    <row r="193" ht="15.75" customHeight="1">
      <c r="A193" s="4"/>
      <c r="B193" s="4"/>
      <c r="C193" s="12"/>
      <c r="D193" s="4"/>
      <c r="E193" s="4"/>
      <c r="F193" s="4"/>
      <c r="G193" s="4"/>
      <c r="H193" s="4"/>
      <c r="I193" s="237"/>
      <c r="J193" s="238"/>
      <c r="K193" s="238"/>
      <c r="L193" s="239"/>
      <c r="M193" s="239"/>
      <c r="N193" s="239"/>
      <c r="O193" s="240"/>
      <c r="P193" s="238"/>
      <c r="Q193" s="241"/>
      <c r="R193" s="239"/>
      <c r="S193" s="239"/>
      <c r="T193" s="239"/>
      <c r="U193" s="240"/>
      <c r="V193" s="238"/>
      <c r="W193" s="242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4"/>
      <c r="AN193" s="4"/>
    </row>
    <row r="194" ht="15.75" customHeight="1">
      <c r="A194" s="4"/>
      <c r="B194" s="4"/>
      <c r="C194" s="12"/>
      <c r="D194" s="4"/>
      <c r="E194" s="4"/>
      <c r="F194" s="4"/>
      <c r="G194" s="4"/>
      <c r="H194" s="4"/>
      <c r="I194" s="237"/>
      <c r="J194" s="238"/>
      <c r="K194" s="238"/>
      <c r="L194" s="239"/>
      <c r="M194" s="239"/>
      <c r="N194" s="239"/>
      <c r="O194" s="240"/>
      <c r="P194" s="238"/>
      <c r="Q194" s="241"/>
      <c r="R194" s="239"/>
      <c r="S194" s="239"/>
      <c r="T194" s="239"/>
      <c r="U194" s="240"/>
      <c r="V194" s="238"/>
      <c r="W194" s="242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4"/>
      <c r="AN194" s="4"/>
    </row>
    <row r="195" ht="15.75" customHeight="1">
      <c r="A195" s="4"/>
      <c r="B195" s="4"/>
      <c r="C195" s="12"/>
      <c r="D195" s="4"/>
      <c r="E195" s="4"/>
      <c r="F195" s="4"/>
      <c r="G195" s="4"/>
      <c r="H195" s="4"/>
      <c r="I195" s="237"/>
      <c r="J195" s="238"/>
      <c r="K195" s="238"/>
      <c r="L195" s="239"/>
      <c r="M195" s="239"/>
      <c r="N195" s="239"/>
      <c r="O195" s="240"/>
      <c r="P195" s="238"/>
      <c r="Q195" s="241"/>
      <c r="R195" s="239"/>
      <c r="S195" s="239"/>
      <c r="T195" s="239"/>
      <c r="U195" s="240"/>
      <c r="V195" s="238"/>
      <c r="W195" s="242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4"/>
      <c r="AN195" s="4"/>
    </row>
    <row r="196" ht="15.75" customHeight="1">
      <c r="A196" s="4"/>
      <c r="B196" s="4"/>
      <c r="C196" s="12"/>
      <c r="D196" s="4"/>
      <c r="E196" s="4"/>
      <c r="F196" s="4"/>
      <c r="G196" s="4"/>
      <c r="H196" s="4"/>
      <c r="I196" s="237"/>
      <c r="J196" s="238"/>
      <c r="K196" s="238"/>
      <c r="L196" s="239"/>
      <c r="M196" s="239"/>
      <c r="N196" s="239"/>
      <c r="O196" s="240"/>
      <c r="P196" s="238"/>
      <c r="Q196" s="241"/>
      <c r="R196" s="239"/>
      <c r="S196" s="239"/>
      <c r="T196" s="239"/>
      <c r="U196" s="240"/>
      <c r="V196" s="238"/>
      <c r="W196" s="242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4"/>
      <c r="AN196" s="4"/>
    </row>
    <row r="197" ht="15.75" customHeight="1">
      <c r="A197" s="4"/>
      <c r="B197" s="4"/>
      <c r="C197" s="12"/>
      <c r="D197" s="4"/>
      <c r="E197" s="4"/>
      <c r="F197" s="4"/>
      <c r="G197" s="4"/>
      <c r="H197" s="4"/>
      <c r="I197" s="237"/>
      <c r="J197" s="238"/>
      <c r="K197" s="238"/>
      <c r="L197" s="239"/>
      <c r="M197" s="239"/>
      <c r="N197" s="239"/>
      <c r="O197" s="240"/>
      <c r="P197" s="238"/>
      <c r="Q197" s="241"/>
      <c r="R197" s="239"/>
      <c r="S197" s="239"/>
      <c r="T197" s="239"/>
      <c r="U197" s="240"/>
      <c r="V197" s="238"/>
      <c r="W197" s="242"/>
      <c r="X197" s="239"/>
      <c r="Y197" s="239"/>
      <c r="Z197" s="239"/>
      <c r="AA197" s="239"/>
      <c r="AB197" s="239"/>
      <c r="AC197" s="239"/>
      <c r="AD197" s="239"/>
      <c r="AE197" s="239"/>
      <c r="AF197" s="239"/>
      <c r="AG197" s="239"/>
      <c r="AH197" s="239"/>
      <c r="AI197" s="239"/>
      <c r="AJ197" s="239"/>
      <c r="AK197" s="239"/>
      <c r="AL197" s="239"/>
      <c r="AM197" s="4"/>
      <c r="AN197" s="4"/>
    </row>
    <row r="198" ht="15.75" customHeight="1">
      <c r="A198" s="4"/>
      <c r="B198" s="4"/>
      <c r="C198" s="12"/>
      <c r="D198" s="4"/>
      <c r="E198" s="4"/>
      <c r="F198" s="4"/>
      <c r="G198" s="4"/>
      <c r="H198" s="4"/>
      <c r="I198" s="237"/>
      <c r="J198" s="238"/>
      <c r="K198" s="238"/>
      <c r="L198" s="239"/>
      <c r="M198" s="239"/>
      <c r="N198" s="239"/>
      <c r="O198" s="240"/>
      <c r="P198" s="238"/>
      <c r="Q198" s="241"/>
      <c r="R198" s="239"/>
      <c r="S198" s="239"/>
      <c r="T198" s="239"/>
      <c r="U198" s="240"/>
      <c r="V198" s="238"/>
      <c r="W198" s="242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4"/>
      <c r="AN198" s="4"/>
    </row>
    <row r="199" ht="15.75" customHeight="1">
      <c r="A199" s="4"/>
      <c r="B199" s="4"/>
      <c r="C199" s="12"/>
      <c r="D199" s="4"/>
      <c r="E199" s="4"/>
      <c r="F199" s="4"/>
      <c r="G199" s="4"/>
      <c r="H199" s="4"/>
      <c r="I199" s="237"/>
      <c r="J199" s="238"/>
      <c r="K199" s="238"/>
      <c r="L199" s="239"/>
      <c r="M199" s="239"/>
      <c r="N199" s="239"/>
      <c r="O199" s="240"/>
      <c r="P199" s="238"/>
      <c r="Q199" s="241"/>
      <c r="R199" s="239"/>
      <c r="S199" s="239"/>
      <c r="T199" s="239"/>
      <c r="U199" s="240"/>
      <c r="V199" s="238"/>
      <c r="W199" s="242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4"/>
      <c r="AN199" s="4"/>
    </row>
    <row r="200" ht="15.75" customHeight="1">
      <c r="A200" s="4"/>
      <c r="B200" s="4"/>
      <c r="C200" s="12"/>
      <c r="D200" s="4"/>
      <c r="E200" s="4"/>
      <c r="F200" s="4"/>
      <c r="G200" s="4"/>
      <c r="H200" s="4"/>
      <c r="I200" s="237"/>
      <c r="J200" s="238"/>
      <c r="K200" s="238"/>
      <c r="L200" s="239"/>
      <c r="M200" s="239"/>
      <c r="N200" s="239"/>
      <c r="O200" s="240"/>
      <c r="P200" s="238"/>
      <c r="Q200" s="241"/>
      <c r="R200" s="239"/>
      <c r="S200" s="239"/>
      <c r="T200" s="239"/>
      <c r="U200" s="240"/>
      <c r="V200" s="238"/>
      <c r="W200" s="242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4"/>
      <c r="AN200" s="4"/>
    </row>
    <row r="201" ht="15.75" customHeight="1">
      <c r="A201" s="4"/>
      <c r="B201" s="4"/>
      <c r="C201" s="12"/>
      <c r="D201" s="4"/>
      <c r="E201" s="4"/>
      <c r="F201" s="4"/>
      <c r="G201" s="4"/>
      <c r="H201" s="4"/>
      <c r="I201" s="237"/>
      <c r="J201" s="238"/>
      <c r="K201" s="238"/>
      <c r="L201" s="239"/>
      <c r="M201" s="239"/>
      <c r="N201" s="239"/>
      <c r="O201" s="240"/>
      <c r="P201" s="238"/>
      <c r="Q201" s="241"/>
      <c r="R201" s="239"/>
      <c r="S201" s="239"/>
      <c r="T201" s="239"/>
      <c r="U201" s="240"/>
      <c r="V201" s="238"/>
      <c r="W201" s="242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4"/>
      <c r="AN201" s="4"/>
    </row>
    <row r="202" ht="15.75" customHeight="1">
      <c r="A202" s="4"/>
      <c r="B202" s="4"/>
      <c r="C202" s="12"/>
      <c r="D202" s="4"/>
      <c r="E202" s="4"/>
      <c r="F202" s="4"/>
      <c r="G202" s="4"/>
      <c r="H202" s="4"/>
      <c r="I202" s="237"/>
      <c r="J202" s="238"/>
      <c r="K202" s="238"/>
      <c r="L202" s="239"/>
      <c r="M202" s="239"/>
      <c r="N202" s="239"/>
      <c r="O202" s="240"/>
      <c r="P202" s="238"/>
      <c r="Q202" s="241"/>
      <c r="R202" s="239"/>
      <c r="S202" s="239"/>
      <c r="T202" s="239"/>
      <c r="U202" s="240"/>
      <c r="V202" s="238"/>
      <c r="W202" s="242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4"/>
      <c r="AN202" s="4"/>
    </row>
    <row r="203" ht="15.75" customHeight="1">
      <c r="A203" s="4"/>
      <c r="B203" s="4"/>
      <c r="C203" s="12"/>
      <c r="D203" s="4"/>
      <c r="E203" s="4"/>
      <c r="F203" s="4"/>
      <c r="G203" s="4"/>
      <c r="H203" s="4"/>
      <c r="I203" s="237"/>
      <c r="J203" s="238"/>
      <c r="K203" s="238"/>
      <c r="L203" s="239"/>
      <c r="M203" s="239"/>
      <c r="N203" s="239"/>
      <c r="O203" s="240"/>
      <c r="P203" s="238"/>
      <c r="Q203" s="241"/>
      <c r="R203" s="239"/>
      <c r="S203" s="239"/>
      <c r="T203" s="239"/>
      <c r="U203" s="240"/>
      <c r="V203" s="238"/>
      <c r="W203" s="242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4"/>
      <c r="AN203" s="4"/>
    </row>
    <row r="204" ht="15.75" customHeight="1">
      <c r="A204" s="4"/>
      <c r="B204" s="4"/>
      <c r="C204" s="12"/>
      <c r="D204" s="4"/>
      <c r="E204" s="4"/>
      <c r="F204" s="4"/>
      <c r="G204" s="4"/>
      <c r="H204" s="4"/>
      <c r="I204" s="237"/>
      <c r="J204" s="238"/>
      <c r="K204" s="238"/>
      <c r="L204" s="239"/>
      <c r="M204" s="239"/>
      <c r="N204" s="239"/>
      <c r="O204" s="240"/>
      <c r="P204" s="238"/>
      <c r="Q204" s="241"/>
      <c r="R204" s="239"/>
      <c r="S204" s="239"/>
      <c r="T204" s="239"/>
      <c r="U204" s="240"/>
      <c r="V204" s="238"/>
      <c r="W204" s="242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4"/>
      <c r="AN204" s="4"/>
    </row>
    <row r="205" ht="15.75" customHeight="1">
      <c r="A205" s="4"/>
      <c r="B205" s="4"/>
      <c r="C205" s="12"/>
      <c r="D205" s="4"/>
      <c r="E205" s="4"/>
      <c r="F205" s="4"/>
      <c r="G205" s="4"/>
      <c r="H205" s="4"/>
      <c r="I205" s="237"/>
      <c r="J205" s="238"/>
      <c r="K205" s="238"/>
      <c r="L205" s="239"/>
      <c r="M205" s="239"/>
      <c r="N205" s="239"/>
      <c r="O205" s="240"/>
      <c r="P205" s="238"/>
      <c r="Q205" s="241"/>
      <c r="R205" s="239"/>
      <c r="S205" s="239"/>
      <c r="T205" s="239"/>
      <c r="U205" s="240"/>
      <c r="V205" s="238"/>
      <c r="W205" s="242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4"/>
      <c r="AN205" s="4"/>
    </row>
    <row r="206" ht="15.75" customHeight="1">
      <c r="A206" s="4"/>
      <c r="B206" s="4"/>
      <c r="C206" s="12"/>
      <c r="D206" s="4"/>
      <c r="E206" s="4"/>
      <c r="F206" s="4"/>
      <c r="G206" s="4"/>
      <c r="H206" s="4"/>
      <c r="I206" s="237"/>
      <c r="J206" s="238"/>
      <c r="K206" s="238"/>
      <c r="L206" s="239"/>
      <c r="M206" s="239"/>
      <c r="N206" s="239"/>
      <c r="O206" s="240"/>
      <c r="P206" s="238"/>
      <c r="Q206" s="241"/>
      <c r="R206" s="239"/>
      <c r="S206" s="239"/>
      <c r="T206" s="239"/>
      <c r="U206" s="240"/>
      <c r="V206" s="238"/>
      <c r="W206" s="242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4"/>
      <c r="AN206" s="4"/>
    </row>
    <row r="207" ht="15.75" customHeight="1">
      <c r="A207" s="4"/>
      <c r="B207" s="4"/>
      <c r="C207" s="12"/>
      <c r="D207" s="4"/>
      <c r="E207" s="4"/>
      <c r="F207" s="4"/>
      <c r="G207" s="4"/>
      <c r="H207" s="4"/>
      <c r="I207" s="237"/>
      <c r="J207" s="238"/>
      <c r="K207" s="238"/>
      <c r="L207" s="239"/>
      <c r="M207" s="239"/>
      <c r="N207" s="239"/>
      <c r="O207" s="240"/>
      <c r="P207" s="238"/>
      <c r="Q207" s="241"/>
      <c r="R207" s="239"/>
      <c r="S207" s="239"/>
      <c r="T207" s="239"/>
      <c r="U207" s="240"/>
      <c r="V207" s="238"/>
      <c r="W207" s="242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4"/>
      <c r="AN207" s="4"/>
    </row>
    <row r="208" ht="15.75" customHeight="1">
      <c r="A208" s="4"/>
      <c r="B208" s="4"/>
      <c r="C208" s="12"/>
      <c r="D208" s="4"/>
      <c r="E208" s="4"/>
      <c r="F208" s="4"/>
      <c r="G208" s="4"/>
      <c r="H208" s="4"/>
      <c r="I208" s="237"/>
      <c r="J208" s="238"/>
      <c r="K208" s="238"/>
      <c r="L208" s="239"/>
      <c r="M208" s="239"/>
      <c r="N208" s="239"/>
      <c r="O208" s="240"/>
      <c r="P208" s="238"/>
      <c r="Q208" s="241"/>
      <c r="R208" s="239"/>
      <c r="S208" s="239"/>
      <c r="T208" s="239"/>
      <c r="U208" s="240"/>
      <c r="V208" s="238"/>
      <c r="W208" s="242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4"/>
      <c r="AN208" s="4"/>
    </row>
    <row r="209" ht="15.75" customHeight="1">
      <c r="A209" s="4"/>
      <c r="B209" s="4"/>
      <c r="C209" s="12"/>
      <c r="D209" s="4"/>
      <c r="E209" s="4"/>
      <c r="F209" s="4"/>
      <c r="G209" s="4"/>
      <c r="H209" s="4"/>
      <c r="I209" s="237"/>
      <c r="J209" s="238"/>
      <c r="K209" s="238"/>
      <c r="L209" s="239"/>
      <c r="M209" s="239"/>
      <c r="N209" s="239"/>
      <c r="O209" s="240"/>
      <c r="P209" s="238"/>
      <c r="Q209" s="241"/>
      <c r="R209" s="239"/>
      <c r="S209" s="239"/>
      <c r="T209" s="239"/>
      <c r="U209" s="240"/>
      <c r="V209" s="238"/>
      <c r="W209" s="242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4"/>
      <c r="AN209" s="4"/>
    </row>
    <row r="210" ht="15.75" customHeight="1">
      <c r="A210" s="4"/>
      <c r="B210" s="4"/>
      <c r="C210" s="12"/>
      <c r="D210" s="4"/>
      <c r="E210" s="4"/>
      <c r="F210" s="4"/>
      <c r="G210" s="4"/>
      <c r="H210" s="4"/>
      <c r="I210" s="237"/>
      <c r="J210" s="238"/>
      <c r="K210" s="238"/>
      <c r="L210" s="239"/>
      <c r="M210" s="239"/>
      <c r="N210" s="239"/>
      <c r="O210" s="240"/>
      <c r="P210" s="238"/>
      <c r="Q210" s="241"/>
      <c r="R210" s="239"/>
      <c r="S210" s="239"/>
      <c r="T210" s="239"/>
      <c r="U210" s="240"/>
      <c r="V210" s="238"/>
      <c r="W210" s="242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4"/>
      <c r="AN210" s="4"/>
    </row>
    <row r="211" ht="15.75" customHeight="1">
      <c r="A211" s="4"/>
      <c r="B211" s="4"/>
      <c r="C211" s="12"/>
      <c r="D211" s="4"/>
      <c r="E211" s="4"/>
      <c r="F211" s="4"/>
      <c r="G211" s="4"/>
      <c r="H211" s="4"/>
      <c r="I211" s="237"/>
      <c r="J211" s="238"/>
      <c r="K211" s="238"/>
      <c r="L211" s="239"/>
      <c r="M211" s="239"/>
      <c r="N211" s="239"/>
      <c r="O211" s="240"/>
      <c r="P211" s="238"/>
      <c r="Q211" s="241"/>
      <c r="R211" s="239"/>
      <c r="S211" s="239"/>
      <c r="T211" s="239"/>
      <c r="U211" s="240"/>
      <c r="V211" s="238"/>
      <c r="W211" s="242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4"/>
      <c r="AN211" s="4"/>
    </row>
    <row r="212" ht="15.75" customHeight="1">
      <c r="A212" s="4"/>
      <c r="B212" s="4"/>
      <c r="C212" s="12"/>
      <c r="D212" s="4"/>
      <c r="E212" s="4"/>
      <c r="F212" s="4"/>
      <c r="G212" s="4"/>
      <c r="H212" s="4"/>
      <c r="I212" s="237"/>
      <c r="J212" s="238"/>
      <c r="K212" s="238"/>
      <c r="L212" s="239"/>
      <c r="M212" s="239"/>
      <c r="N212" s="239"/>
      <c r="O212" s="240"/>
      <c r="P212" s="238"/>
      <c r="Q212" s="241"/>
      <c r="R212" s="239"/>
      <c r="S212" s="239"/>
      <c r="T212" s="239"/>
      <c r="U212" s="240"/>
      <c r="V212" s="238"/>
      <c r="W212" s="242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4"/>
      <c r="AN212" s="4"/>
    </row>
    <row r="213" ht="15.75" customHeight="1">
      <c r="A213" s="4"/>
      <c r="B213" s="4"/>
      <c r="C213" s="12"/>
      <c r="D213" s="4"/>
      <c r="E213" s="4"/>
      <c r="F213" s="4"/>
      <c r="G213" s="4"/>
      <c r="H213" s="4"/>
      <c r="I213" s="237"/>
      <c r="J213" s="238"/>
      <c r="K213" s="238"/>
      <c r="L213" s="239"/>
      <c r="M213" s="239"/>
      <c r="N213" s="239"/>
      <c r="O213" s="240"/>
      <c r="P213" s="238"/>
      <c r="Q213" s="241"/>
      <c r="R213" s="239"/>
      <c r="S213" s="239"/>
      <c r="T213" s="239"/>
      <c r="U213" s="240"/>
      <c r="V213" s="238"/>
      <c r="W213" s="242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4"/>
      <c r="AN213" s="4"/>
    </row>
    <row r="214" ht="15.75" customHeight="1">
      <c r="A214" s="4"/>
      <c r="B214" s="4"/>
      <c r="C214" s="12"/>
      <c r="D214" s="4"/>
      <c r="E214" s="4"/>
      <c r="F214" s="4"/>
      <c r="G214" s="4"/>
      <c r="H214" s="4"/>
      <c r="I214" s="237"/>
      <c r="J214" s="238"/>
      <c r="K214" s="238"/>
      <c r="L214" s="239"/>
      <c r="M214" s="239"/>
      <c r="N214" s="239"/>
      <c r="O214" s="240"/>
      <c r="P214" s="238"/>
      <c r="Q214" s="241"/>
      <c r="R214" s="239"/>
      <c r="S214" s="239"/>
      <c r="T214" s="239"/>
      <c r="U214" s="240"/>
      <c r="V214" s="238"/>
      <c r="W214" s="242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4"/>
      <c r="AN214" s="4"/>
    </row>
    <row r="215" ht="15.75" customHeight="1">
      <c r="A215" s="4"/>
      <c r="B215" s="4"/>
      <c r="C215" s="12"/>
      <c r="D215" s="4"/>
      <c r="E215" s="4"/>
      <c r="F215" s="4"/>
      <c r="G215" s="4"/>
      <c r="H215" s="4"/>
      <c r="I215" s="237"/>
      <c r="J215" s="238"/>
      <c r="K215" s="238"/>
      <c r="L215" s="239"/>
      <c r="M215" s="239"/>
      <c r="N215" s="239"/>
      <c r="O215" s="240"/>
      <c r="P215" s="238"/>
      <c r="Q215" s="241"/>
      <c r="R215" s="239"/>
      <c r="S215" s="239"/>
      <c r="T215" s="239"/>
      <c r="U215" s="240"/>
      <c r="V215" s="238"/>
      <c r="W215" s="242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4"/>
      <c r="AN215" s="4"/>
    </row>
    <row r="216" ht="15.75" customHeight="1">
      <c r="A216" s="4"/>
      <c r="B216" s="4"/>
      <c r="C216" s="12"/>
      <c r="D216" s="4"/>
      <c r="E216" s="4"/>
      <c r="F216" s="4"/>
      <c r="G216" s="4"/>
      <c r="H216" s="4"/>
      <c r="I216" s="237"/>
      <c r="J216" s="238"/>
      <c r="K216" s="238"/>
      <c r="L216" s="239"/>
      <c r="M216" s="239"/>
      <c r="N216" s="239"/>
      <c r="O216" s="240"/>
      <c r="P216" s="238"/>
      <c r="Q216" s="241"/>
      <c r="R216" s="239"/>
      <c r="S216" s="239"/>
      <c r="T216" s="239"/>
      <c r="U216" s="240"/>
      <c r="V216" s="238"/>
      <c r="W216" s="242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4"/>
      <c r="AN216" s="4"/>
    </row>
    <row r="217" ht="15.75" customHeight="1">
      <c r="A217" s="4"/>
      <c r="B217" s="4"/>
      <c r="C217" s="12"/>
      <c r="D217" s="4"/>
      <c r="E217" s="4"/>
      <c r="F217" s="4"/>
      <c r="G217" s="4"/>
      <c r="H217" s="4"/>
      <c r="I217" s="237"/>
      <c r="J217" s="238"/>
      <c r="K217" s="238"/>
      <c r="L217" s="239"/>
      <c r="M217" s="239"/>
      <c r="N217" s="239"/>
      <c r="O217" s="240"/>
      <c r="P217" s="238"/>
      <c r="Q217" s="241"/>
      <c r="R217" s="239"/>
      <c r="S217" s="239"/>
      <c r="T217" s="239"/>
      <c r="U217" s="240"/>
      <c r="V217" s="238"/>
      <c r="W217" s="242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4"/>
      <c r="AN217" s="4"/>
    </row>
    <row r="218" ht="15.75" customHeight="1">
      <c r="A218" s="4"/>
      <c r="B218" s="4"/>
      <c r="C218" s="12"/>
      <c r="D218" s="4"/>
      <c r="E218" s="4"/>
      <c r="F218" s="4"/>
      <c r="G218" s="4"/>
      <c r="H218" s="4"/>
      <c r="I218" s="237"/>
      <c r="J218" s="238"/>
      <c r="K218" s="238"/>
      <c r="L218" s="239"/>
      <c r="M218" s="239"/>
      <c r="N218" s="239"/>
      <c r="O218" s="240"/>
      <c r="P218" s="238"/>
      <c r="Q218" s="241"/>
      <c r="R218" s="239"/>
      <c r="S218" s="239"/>
      <c r="T218" s="239"/>
      <c r="U218" s="240"/>
      <c r="V218" s="238"/>
      <c r="W218" s="242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4"/>
      <c r="AN218" s="4"/>
    </row>
    <row r="219" ht="15.75" customHeight="1">
      <c r="A219" s="4"/>
      <c r="B219" s="4"/>
      <c r="C219" s="12"/>
      <c r="D219" s="4"/>
      <c r="E219" s="4"/>
      <c r="F219" s="4"/>
      <c r="G219" s="4"/>
      <c r="H219" s="4"/>
      <c r="I219" s="237"/>
      <c r="J219" s="238"/>
      <c r="K219" s="238"/>
      <c r="L219" s="239"/>
      <c r="M219" s="239"/>
      <c r="N219" s="239"/>
      <c r="O219" s="240"/>
      <c r="P219" s="238"/>
      <c r="Q219" s="241"/>
      <c r="R219" s="239"/>
      <c r="S219" s="239"/>
      <c r="T219" s="239"/>
      <c r="U219" s="240"/>
      <c r="V219" s="238"/>
      <c r="W219" s="242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4"/>
      <c r="AN219" s="4"/>
    </row>
    <row r="220" ht="15.75" customHeight="1">
      <c r="A220" s="4"/>
      <c r="B220" s="4"/>
      <c r="C220" s="12"/>
      <c r="D220" s="4"/>
      <c r="E220" s="4"/>
      <c r="F220" s="4"/>
      <c r="G220" s="4"/>
      <c r="H220" s="4"/>
      <c r="I220" s="237"/>
      <c r="J220" s="238"/>
      <c r="K220" s="238"/>
      <c r="L220" s="239"/>
      <c r="M220" s="239"/>
      <c r="N220" s="239"/>
      <c r="O220" s="240"/>
      <c r="P220" s="238"/>
      <c r="Q220" s="241"/>
      <c r="R220" s="239"/>
      <c r="S220" s="239"/>
      <c r="T220" s="239"/>
      <c r="U220" s="240"/>
      <c r="V220" s="238"/>
      <c r="W220" s="242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4"/>
      <c r="AN220" s="4"/>
    </row>
    <row r="221" ht="15.75" customHeight="1">
      <c r="A221" s="4"/>
      <c r="B221" s="4"/>
      <c r="C221" s="12"/>
      <c r="D221" s="4"/>
      <c r="E221" s="4"/>
      <c r="F221" s="4"/>
      <c r="G221" s="4"/>
      <c r="H221" s="4"/>
      <c r="I221" s="237"/>
      <c r="J221" s="238"/>
      <c r="K221" s="238"/>
      <c r="L221" s="239"/>
      <c r="M221" s="239"/>
      <c r="N221" s="239"/>
      <c r="O221" s="240"/>
      <c r="P221" s="238"/>
      <c r="Q221" s="241"/>
      <c r="R221" s="239"/>
      <c r="S221" s="239"/>
      <c r="T221" s="239"/>
      <c r="U221" s="240"/>
      <c r="V221" s="238"/>
      <c r="W221" s="242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4"/>
      <c r="AN221" s="4"/>
    </row>
    <row r="222" ht="15.75" customHeight="1">
      <c r="A222" s="4"/>
      <c r="B222" s="4"/>
      <c r="C222" s="12"/>
      <c r="D222" s="4"/>
      <c r="E222" s="4"/>
      <c r="F222" s="4"/>
      <c r="G222" s="4"/>
      <c r="H222" s="4"/>
      <c r="I222" s="237"/>
      <c r="J222" s="238"/>
      <c r="K222" s="238"/>
      <c r="L222" s="239"/>
      <c r="M222" s="239"/>
      <c r="N222" s="239"/>
      <c r="O222" s="240"/>
      <c r="P222" s="238"/>
      <c r="Q222" s="241"/>
      <c r="R222" s="239"/>
      <c r="S222" s="239"/>
      <c r="T222" s="239"/>
      <c r="U222" s="240"/>
      <c r="V222" s="238"/>
      <c r="W222" s="242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4"/>
      <c r="AN222" s="4"/>
    </row>
    <row r="223" ht="15.75" customHeight="1">
      <c r="A223" s="4"/>
      <c r="B223" s="4"/>
      <c r="C223" s="12"/>
      <c r="D223" s="4"/>
      <c r="E223" s="4"/>
      <c r="F223" s="4"/>
      <c r="G223" s="4"/>
      <c r="H223" s="4"/>
      <c r="I223" s="237"/>
      <c r="J223" s="238"/>
      <c r="K223" s="238"/>
      <c r="L223" s="239"/>
      <c r="M223" s="239"/>
      <c r="N223" s="239"/>
      <c r="O223" s="240"/>
      <c r="P223" s="238"/>
      <c r="Q223" s="241"/>
      <c r="R223" s="239"/>
      <c r="S223" s="239"/>
      <c r="T223" s="239"/>
      <c r="U223" s="240"/>
      <c r="V223" s="238"/>
      <c r="W223" s="242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4"/>
      <c r="AN223" s="4"/>
    </row>
    <row r="224" ht="15.75" customHeight="1">
      <c r="A224" s="4"/>
      <c r="B224" s="4"/>
      <c r="C224" s="12"/>
      <c r="D224" s="4"/>
      <c r="E224" s="4"/>
      <c r="F224" s="4"/>
      <c r="G224" s="4"/>
      <c r="H224" s="4"/>
      <c r="I224" s="237"/>
      <c r="J224" s="238"/>
      <c r="K224" s="238"/>
      <c r="L224" s="239"/>
      <c r="M224" s="239"/>
      <c r="N224" s="239"/>
      <c r="O224" s="240"/>
      <c r="P224" s="238"/>
      <c r="Q224" s="241"/>
      <c r="R224" s="239"/>
      <c r="S224" s="239"/>
      <c r="T224" s="239"/>
      <c r="U224" s="240"/>
      <c r="V224" s="238"/>
      <c r="W224" s="242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4"/>
      <c r="AN224" s="4"/>
    </row>
    <row r="225" ht="15.75" customHeight="1">
      <c r="A225" s="4"/>
      <c r="B225" s="4"/>
      <c r="C225" s="12"/>
      <c r="D225" s="4"/>
      <c r="E225" s="4"/>
      <c r="F225" s="4"/>
      <c r="G225" s="4"/>
      <c r="H225" s="4"/>
      <c r="I225" s="237"/>
      <c r="J225" s="238"/>
      <c r="K225" s="238"/>
      <c r="L225" s="239"/>
      <c r="M225" s="239"/>
      <c r="N225" s="239"/>
      <c r="O225" s="240"/>
      <c r="P225" s="238"/>
      <c r="Q225" s="241"/>
      <c r="R225" s="239"/>
      <c r="S225" s="239"/>
      <c r="T225" s="239"/>
      <c r="U225" s="240"/>
      <c r="V225" s="238"/>
      <c r="W225" s="242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4"/>
      <c r="AN225" s="4"/>
    </row>
    <row r="226" ht="15.75" customHeight="1">
      <c r="A226" s="4"/>
      <c r="B226" s="4"/>
      <c r="C226" s="12"/>
      <c r="D226" s="4"/>
      <c r="E226" s="4"/>
      <c r="F226" s="4"/>
      <c r="G226" s="4"/>
      <c r="H226" s="4"/>
      <c r="I226" s="237"/>
      <c r="J226" s="238"/>
      <c r="K226" s="238"/>
      <c r="L226" s="239"/>
      <c r="M226" s="239"/>
      <c r="N226" s="239"/>
      <c r="O226" s="240"/>
      <c r="P226" s="238"/>
      <c r="Q226" s="241"/>
      <c r="R226" s="239"/>
      <c r="S226" s="239"/>
      <c r="T226" s="239"/>
      <c r="U226" s="240"/>
      <c r="V226" s="238"/>
      <c r="W226" s="242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4"/>
      <c r="AN226" s="4"/>
    </row>
    <row r="227" ht="15.75" customHeight="1">
      <c r="A227" s="4"/>
      <c r="B227" s="4"/>
      <c r="C227" s="12"/>
      <c r="D227" s="4"/>
      <c r="E227" s="4"/>
      <c r="F227" s="4"/>
      <c r="G227" s="4"/>
      <c r="H227" s="4"/>
      <c r="I227" s="237"/>
      <c r="J227" s="238"/>
      <c r="K227" s="238"/>
      <c r="L227" s="239"/>
      <c r="M227" s="239"/>
      <c r="N227" s="239"/>
      <c r="O227" s="240"/>
      <c r="P227" s="238"/>
      <c r="Q227" s="241"/>
      <c r="R227" s="239"/>
      <c r="S227" s="239"/>
      <c r="T227" s="239"/>
      <c r="U227" s="240"/>
      <c r="V227" s="238"/>
      <c r="W227" s="242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4"/>
      <c r="AN227" s="4"/>
    </row>
    <row r="228" ht="15.75" customHeight="1">
      <c r="A228" s="4"/>
      <c r="B228" s="4"/>
      <c r="C228" s="12"/>
      <c r="D228" s="4"/>
      <c r="E228" s="4"/>
      <c r="F228" s="4"/>
      <c r="G228" s="4"/>
      <c r="H228" s="4"/>
      <c r="I228" s="237"/>
      <c r="J228" s="238"/>
      <c r="K228" s="238"/>
      <c r="L228" s="239"/>
      <c r="M228" s="239"/>
      <c r="N228" s="239"/>
      <c r="O228" s="240"/>
      <c r="P228" s="238"/>
      <c r="Q228" s="241"/>
      <c r="R228" s="239"/>
      <c r="S228" s="239"/>
      <c r="T228" s="239"/>
      <c r="U228" s="240"/>
      <c r="V228" s="238"/>
      <c r="W228" s="242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4"/>
      <c r="AN228" s="4"/>
    </row>
    <row r="229" ht="15.75" customHeight="1">
      <c r="A229" s="4"/>
      <c r="B229" s="4"/>
      <c r="C229" s="12"/>
      <c r="D229" s="4"/>
      <c r="E229" s="4"/>
      <c r="F229" s="4"/>
      <c r="G229" s="4"/>
      <c r="H229" s="4"/>
      <c r="I229" s="237"/>
      <c r="J229" s="238"/>
      <c r="K229" s="238"/>
      <c r="L229" s="239"/>
      <c r="M229" s="239"/>
      <c r="N229" s="239"/>
      <c r="O229" s="240"/>
      <c r="P229" s="238"/>
      <c r="Q229" s="241"/>
      <c r="R229" s="239"/>
      <c r="S229" s="239"/>
      <c r="T229" s="239"/>
      <c r="U229" s="240"/>
      <c r="V229" s="238"/>
      <c r="W229" s="242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4"/>
      <c r="AN229" s="4"/>
    </row>
    <row r="230" ht="15.75" customHeight="1">
      <c r="A230" s="4"/>
      <c r="B230" s="4"/>
      <c r="C230" s="12"/>
      <c r="D230" s="4"/>
      <c r="E230" s="4"/>
      <c r="F230" s="4"/>
      <c r="G230" s="4"/>
      <c r="H230" s="4"/>
      <c r="I230" s="237"/>
      <c r="J230" s="238"/>
      <c r="K230" s="238"/>
      <c r="L230" s="239"/>
      <c r="M230" s="239"/>
      <c r="N230" s="239"/>
      <c r="O230" s="240"/>
      <c r="P230" s="238"/>
      <c r="Q230" s="241"/>
      <c r="R230" s="239"/>
      <c r="S230" s="239"/>
      <c r="T230" s="239"/>
      <c r="U230" s="240"/>
      <c r="V230" s="238"/>
      <c r="W230" s="242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4"/>
      <c r="AN230" s="4"/>
    </row>
    <row r="231" ht="15.75" customHeight="1">
      <c r="A231" s="4"/>
      <c r="B231" s="4"/>
      <c r="C231" s="12"/>
      <c r="D231" s="4"/>
      <c r="E231" s="4"/>
      <c r="F231" s="4"/>
      <c r="G231" s="4"/>
      <c r="H231" s="4"/>
      <c r="I231" s="237"/>
      <c r="J231" s="238"/>
      <c r="K231" s="238"/>
      <c r="L231" s="239"/>
      <c r="M231" s="239"/>
      <c r="N231" s="239"/>
      <c r="O231" s="240"/>
      <c r="P231" s="238"/>
      <c r="Q231" s="241"/>
      <c r="R231" s="239"/>
      <c r="S231" s="239"/>
      <c r="T231" s="239"/>
      <c r="U231" s="240"/>
      <c r="V231" s="238"/>
      <c r="W231" s="242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4"/>
      <c r="AN231" s="4"/>
    </row>
    <row r="232" ht="15.75" customHeight="1">
      <c r="A232" s="4"/>
      <c r="B232" s="4"/>
      <c r="C232" s="12"/>
      <c r="D232" s="4"/>
      <c r="E232" s="4"/>
      <c r="F232" s="4"/>
      <c r="G232" s="4"/>
      <c r="H232" s="4"/>
      <c r="I232" s="237"/>
      <c r="J232" s="238"/>
      <c r="K232" s="238"/>
      <c r="L232" s="239"/>
      <c r="M232" s="239"/>
      <c r="N232" s="239"/>
      <c r="O232" s="240"/>
      <c r="P232" s="238"/>
      <c r="Q232" s="241"/>
      <c r="R232" s="239"/>
      <c r="S232" s="239"/>
      <c r="T232" s="239"/>
      <c r="U232" s="240"/>
      <c r="V232" s="238"/>
      <c r="W232" s="242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4"/>
      <c r="AN232" s="4"/>
    </row>
    <row r="233" ht="15.75" customHeight="1">
      <c r="A233" s="4"/>
      <c r="B233" s="4"/>
      <c r="C233" s="12"/>
      <c r="D233" s="4"/>
      <c r="E233" s="4"/>
      <c r="F233" s="4"/>
      <c r="G233" s="4"/>
      <c r="H233" s="4"/>
      <c r="I233" s="237"/>
      <c r="J233" s="238"/>
      <c r="K233" s="238"/>
      <c r="L233" s="239"/>
      <c r="M233" s="239"/>
      <c r="N233" s="239"/>
      <c r="O233" s="240"/>
      <c r="P233" s="238"/>
      <c r="Q233" s="241"/>
      <c r="R233" s="239"/>
      <c r="S233" s="239"/>
      <c r="T233" s="239"/>
      <c r="U233" s="240"/>
      <c r="V233" s="238"/>
      <c r="W233" s="242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4"/>
      <c r="AN233" s="4"/>
    </row>
    <row r="234" ht="15.75" customHeight="1">
      <c r="A234" s="4"/>
      <c r="B234" s="4"/>
      <c r="C234" s="12"/>
      <c r="D234" s="4"/>
      <c r="E234" s="4"/>
      <c r="F234" s="4"/>
      <c r="G234" s="4"/>
      <c r="H234" s="4"/>
      <c r="I234" s="237"/>
      <c r="J234" s="238"/>
      <c r="K234" s="238"/>
      <c r="L234" s="239"/>
      <c r="M234" s="239"/>
      <c r="N234" s="239"/>
      <c r="O234" s="240"/>
      <c r="P234" s="238"/>
      <c r="Q234" s="241"/>
      <c r="R234" s="239"/>
      <c r="S234" s="239"/>
      <c r="T234" s="239"/>
      <c r="U234" s="240"/>
      <c r="V234" s="238"/>
      <c r="W234" s="242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4"/>
      <c r="AN234" s="4"/>
    </row>
    <row r="235" ht="15.75" customHeight="1">
      <c r="A235" s="4"/>
      <c r="B235" s="4"/>
      <c r="C235" s="12"/>
      <c r="D235" s="4"/>
      <c r="E235" s="4"/>
      <c r="F235" s="4"/>
      <c r="G235" s="4"/>
      <c r="H235" s="4"/>
      <c r="I235" s="237"/>
      <c r="J235" s="238"/>
      <c r="K235" s="238"/>
      <c r="L235" s="239"/>
      <c r="M235" s="239"/>
      <c r="N235" s="239"/>
      <c r="O235" s="240"/>
      <c r="P235" s="238"/>
      <c r="Q235" s="241"/>
      <c r="R235" s="239"/>
      <c r="S235" s="239"/>
      <c r="T235" s="239"/>
      <c r="U235" s="240"/>
      <c r="V235" s="238"/>
      <c r="W235" s="242"/>
      <c r="X235" s="239"/>
      <c r="Y235" s="239"/>
      <c r="Z235" s="239"/>
      <c r="AA235" s="239"/>
      <c r="AB235" s="239"/>
      <c r="AC235" s="239"/>
      <c r="AD235" s="239"/>
      <c r="AE235" s="239"/>
      <c r="AF235" s="239"/>
      <c r="AG235" s="239"/>
      <c r="AH235" s="239"/>
      <c r="AI235" s="239"/>
      <c r="AJ235" s="239"/>
      <c r="AK235" s="239"/>
      <c r="AL235" s="239"/>
      <c r="AM235" s="4"/>
      <c r="AN235" s="4"/>
    </row>
    <row r="236" ht="15.75" customHeight="1">
      <c r="A236" s="4"/>
      <c r="B236" s="4"/>
      <c r="C236" s="12"/>
      <c r="D236" s="4"/>
      <c r="E236" s="4"/>
      <c r="F236" s="4"/>
      <c r="G236" s="4"/>
      <c r="H236" s="4"/>
      <c r="I236" s="237"/>
      <c r="J236" s="238"/>
      <c r="K236" s="238"/>
      <c r="L236" s="239"/>
      <c r="M236" s="239"/>
      <c r="N236" s="239"/>
      <c r="O236" s="240"/>
      <c r="P236" s="238"/>
      <c r="Q236" s="241"/>
      <c r="R236" s="239"/>
      <c r="S236" s="239"/>
      <c r="T236" s="239"/>
      <c r="U236" s="240"/>
      <c r="V236" s="238"/>
      <c r="W236" s="242"/>
      <c r="X236" s="239"/>
      <c r="Y236" s="239"/>
      <c r="Z236" s="239"/>
      <c r="AA236" s="239"/>
      <c r="AB236" s="239"/>
      <c r="AC236" s="239"/>
      <c r="AD236" s="239"/>
      <c r="AE236" s="239"/>
      <c r="AF236" s="239"/>
      <c r="AG236" s="239"/>
      <c r="AH236" s="239"/>
      <c r="AI236" s="239"/>
      <c r="AJ236" s="239"/>
      <c r="AK236" s="239"/>
      <c r="AL236" s="239"/>
      <c r="AM236" s="4"/>
      <c r="AN236" s="4"/>
    </row>
    <row r="237" ht="15.75" customHeight="1">
      <c r="A237" s="4"/>
      <c r="B237" s="4"/>
      <c r="C237" s="12"/>
      <c r="D237" s="4"/>
      <c r="E237" s="4"/>
      <c r="F237" s="4"/>
      <c r="G237" s="4"/>
      <c r="H237" s="4"/>
      <c r="I237" s="237"/>
      <c r="J237" s="238"/>
      <c r="K237" s="238"/>
      <c r="L237" s="239"/>
      <c r="M237" s="239"/>
      <c r="N237" s="239"/>
      <c r="O237" s="240"/>
      <c r="P237" s="238"/>
      <c r="Q237" s="241"/>
      <c r="R237" s="239"/>
      <c r="S237" s="239"/>
      <c r="T237" s="239"/>
      <c r="U237" s="240"/>
      <c r="V237" s="238"/>
      <c r="W237" s="242"/>
      <c r="X237" s="239"/>
      <c r="Y237" s="239"/>
      <c r="Z237" s="239"/>
      <c r="AA237" s="239"/>
      <c r="AB237" s="239"/>
      <c r="AC237" s="239"/>
      <c r="AD237" s="239"/>
      <c r="AE237" s="239"/>
      <c r="AF237" s="239"/>
      <c r="AG237" s="239"/>
      <c r="AH237" s="239"/>
      <c r="AI237" s="239"/>
      <c r="AJ237" s="239"/>
      <c r="AK237" s="239"/>
      <c r="AL237" s="239"/>
      <c r="AM237" s="4"/>
      <c r="AN237" s="4"/>
    </row>
    <row r="238" ht="15.75" customHeight="1">
      <c r="A238" s="4"/>
      <c r="B238" s="4"/>
      <c r="C238" s="12"/>
      <c r="D238" s="4"/>
      <c r="E238" s="4"/>
      <c r="F238" s="4"/>
      <c r="G238" s="4"/>
      <c r="H238" s="4"/>
      <c r="I238" s="237"/>
      <c r="J238" s="238"/>
      <c r="K238" s="238"/>
      <c r="L238" s="239"/>
      <c r="M238" s="239"/>
      <c r="N238" s="239"/>
      <c r="O238" s="240"/>
      <c r="P238" s="238"/>
      <c r="Q238" s="241"/>
      <c r="R238" s="239"/>
      <c r="S238" s="239"/>
      <c r="T238" s="239"/>
      <c r="U238" s="240"/>
      <c r="V238" s="238"/>
      <c r="W238" s="242"/>
      <c r="X238" s="239"/>
      <c r="Y238" s="239"/>
      <c r="Z238" s="239"/>
      <c r="AA238" s="239"/>
      <c r="AB238" s="239"/>
      <c r="AC238" s="239"/>
      <c r="AD238" s="239"/>
      <c r="AE238" s="239"/>
      <c r="AF238" s="239"/>
      <c r="AG238" s="239"/>
      <c r="AH238" s="239"/>
      <c r="AI238" s="239"/>
      <c r="AJ238" s="239"/>
      <c r="AK238" s="239"/>
      <c r="AL238" s="239"/>
      <c r="AM238" s="4"/>
      <c r="AN238" s="4"/>
    </row>
    <row r="239" ht="15.75" customHeight="1">
      <c r="A239" s="4"/>
      <c r="B239" s="4"/>
      <c r="C239" s="12"/>
      <c r="D239" s="4"/>
      <c r="E239" s="4"/>
      <c r="F239" s="4"/>
      <c r="G239" s="4"/>
      <c r="H239" s="4"/>
      <c r="I239" s="237"/>
      <c r="J239" s="238"/>
      <c r="K239" s="238"/>
      <c r="L239" s="239"/>
      <c r="M239" s="239"/>
      <c r="N239" s="239"/>
      <c r="O239" s="240"/>
      <c r="P239" s="238"/>
      <c r="Q239" s="241"/>
      <c r="R239" s="239"/>
      <c r="S239" s="239"/>
      <c r="T239" s="239"/>
      <c r="U239" s="240"/>
      <c r="V239" s="238"/>
      <c r="W239" s="242"/>
      <c r="X239" s="239"/>
      <c r="Y239" s="239"/>
      <c r="Z239" s="239"/>
      <c r="AA239" s="239"/>
      <c r="AB239" s="239"/>
      <c r="AC239" s="239"/>
      <c r="AD239" s="239"/>
      <c r="AE239" s="239"/>
      <c r="AF239" s="239"/>
      <c r="AG239" s="239"/>
      <c r="AH239" s="239"/>
      <c r="AI239" s="239"/>
      <c r="AJ239" s="239"/>
      <c r="AK239" s="239"/>
      <c r="AL239" s="239"/>
      <c r="AM239" s="4"/>
      <c r="AN239" s="4"/>
    </row>
    <row r="240" ht="15.75" customHeight="1">
      <c r="A240" s="4"/>
      <c r="B240" s="4"/>
      <c r="C240" s="12"/>
      <c r="D240" s="4"/>
      <c r="E240" s="4"/>
      <c r="F240" s="4"/>
      <c r="G240" s="4"/>
      <c r="H240" s="4"/>
      <c r="I240" s="237"/>
      <c r="J240" s="238"/>
      <c r="K240" s="238"/>
      <c r="L240" s="239"/>
      <c r="M240" s="239"/>
      <c r="N240" s="239"/>
      <c r="O240" s="240"/>
      <c r="P240" s="238"/>
      <c r="Q240" s="241"/>
      <c r="R240" s="239"/>
      <c r="S240" s="239"/>
      <c r="T240" s="239"/>
      <c r="U240" s="240"/>
      <c r="V240" s="238"/>
      <c r="W240" s="242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  <c r="AM240" s="4"/>
      <c r="AN240" s="4"/>
    </row>
    <row r="241" ht="15.75" customHeight="1">
      <c r="A241" s="4"/>
      <c r="B241" s="4"/>
      <c r="C241" s="12"/>
      <c r="D241" s="4"/>
      <c r="E241" s="4"/>
      <c r="F241" s="4"/>
      <c r="G241" s="4"/>
      <c r="H241" s="4"/>
      <c r="I241" s="237"/>
      <c r="J241" s="238"/>
      <c r="K241" s="238"/>
      <c r="L241" s="239"/>
      <c r="M241" s="239"/>
      <c r="N241" s="239"/>
      <c r="O241" s="240"/>
      <c r="P241" s="238"/>
      <c r="Q241" s="241"/>
      <c r="R241" s="239"/>
      <c r="S241" s="239"/>
      <c r="T241" s="239"/>
      <c r="U241" s="240"/>
      <c r="V241" s="238"/>
      <c r="W241" s="242"/>
      <c r="X241" s="239"/>
      <c r="Y241" s="239"/>
      <c r="Z241" s="239"/>
      <c r="AA241" s="239"/>
      <c r="AB241" s="239"/>
      <c r="AC241" s="239"/>
      <c r="AD241" s="239"/>
      <c r="AE241" s="239"/>
      <c r="AF241" s="239"/>
      <c r="AG241" s="239"/>
      <c r="AH241" s="239"/>
      <c r="AI241" s="239"/>
      <c r="AJ241" s="239"/>
      <c r="AK241" s="239"/>
      <c r="AL241" s="239"/>
      <c r="AM241" s="4"/>
      <c r="AN241" s="4"/>
    </row>
    <row r="242" ht="15.75" customHeight="1">
      <c r="A242" s="4"/>
      <c r="B242" s="4"/>
      <c r="C242" s="12"/>
      <c r="D242" s="4"/>
      <c r="E242" s="4"/>
      <c r="F242" s="4"/>
      <c r="G242" s="4"/>
      <c r="H242" s="4"/>
      <c r="I242" s="237"/>
      <c r="J242" s="238"/>
      <c r="K242" s="238"/>
      <c r="L242" s="239"/>
      <c r="M242" s="239"/>
      <c r="N242" s="239"/>
      <c r="O242" s="240"/>
      <c r="P242" s="238"/>
      <c r="Q242" s="241"/>
      <c r="R242" s="239"/>
      <c r="S242" s="239"/>
      <c r="T242" s="239"/>
      <c r="U242" s="240"/>
      <c r="V242" s="238"/>
      <c r="W242" s="242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  <c r="AM242" s="4"/>
      <c r="AN242" s="4"/>
    </row>
    <row r="243" ht="15.75" customHeight="1">
      <c r="A243" s="4"/>
      <c r="B243" s="4"/>
      <c r="C243" s="12"/>
      <c r="D243" s="4"/>
      <c r="E243" s="4"/>
      <c r="F243" s="4"/>
      <c r="G243" s="4"/>
      <c r="H243" s="4"/>
      <c r="I243" s="237"/>
      <c r="J243" s="238"/>
      <c r="K243" s="238"/>
      <c r="L243" s="239"/>
      <c r="M243" s="239"/>
      <c r="N243" s="239"/>
      <c r="O243" s="240"/>
      <c r="P243" s="238"/>
      <c r="Q243" s="241"/>
      <c r="R243" s="239"/>
      <c r="S243" s="239"/>
      <c r="T243" s="239"/>
      <c r="U243" s="240"/>
      <c r="V243" s="238"/>
      <c r="W243" s="242"/>
      <c r="X243" s="239"/>
      <c r="Y243" s="239"/>
      <c r="Z243" s="239"/>
      <c r="AA243" s="239"/>
      <c r="AB243" s="239"/>
      <c r="AC243" s="239"/>
      <c r="AD243" s="239"/>
      <c r="AE243" s="239"/>
      <c r="AF243" s="239"/>
      <c r="AG243" s="239"/>
      <c r="AH243" s="239"/>
      <c r="AI243" s="239"/>
      <c r="AJ243" s="239"/>
      <c r="AK243" s="239"/>
      <c r="AL243" s="239"/>
      <c r="AM243" s="4"/>
      <c r="AN243" s="4"/>
    </row>
    <row r="244" ht="15.75" customHeight="1">
      <c r="A244" s="4"/>
      <c r="B244" s="4"/>
      <c r="C244" s="12"/>
      <c r="D244" s="4"/>
      <c r="E244" s="4"/>
      <c r="F244" s="4"/>
      <c r="G244" s="4"/>
      <c r="H244" s="4"/>
      <c r="I244" s="237"/>
      <c r="J244" s="238"/>
      <c r="K244" s="238"/>
      <c r="L244" s="239"/>
      <c r="M244" s="239"/>
      <c r="N244" s="239"/>
      <c r="O244" s="240"/>
      <c r="P244" s="238"/>
      <c r="Q244" s="241"/>
      <c r="R244" s="239"/>
      <c r="S244" s="239"/>
      <c r="T244" s="239"/>
      <c r="U244" s="240"/>
      <c r="V244" s="238"/>
      <c r="W244" s="242"/>
      <c r="X244" s="239"/>
      <c r="Y244" s="239"/>
      <c r="Z244" s="239"/>
      <c r="AA244" s="239"/>
      <c r="AB244" s="239"/>
      <c r="AC244" s="239"/>
      <c r="AD244" s="239"/>
      <c r="AE244" s="239"/>
      <c r="AF244" s="239"/>
      <c r="AG244" s="239"/>
      <c r="AH244" s="239"/>
      <c r="AI244" s="239"/>
      <c r="AJ244" s="239"/>
      <c r="AK244" s="239"/>
      <c r="AL244" s="239"/>
      <c r="AM244" s="4"/>
      <c r="AN244" s="4"/>
    </row>
    <row r="245" ht="15.75" customHeight="1">
      <c r="A245" s="4"/>
      <c r="B245" s="4"/>
      <c r="C245" s="12"/>
      <c r="D245" s="4"/>
      <c r="E245" s="4"/>
      <c r="F245" s="4"/>
      <c r="G245" s="4"/>
      <c r="H245" s="4"/>
      <c r="I245" s="237"/>
      <c r="J245" s="238"/>
      <c r="K245" s="238"/>
      <c r="L245" s="239"/>
      <c r="M245" s="239"/>
      <c r="N245" s="239"/>
      <c r="O245" s="240"/>
      <c r="P245" s="238"/>
      <c r="Q245" s="241"/>
      <c r="R245" s="239"/>
      <c r="S245" s="239"/>
      <c r="T245" s="239"/>
      <c r="U245" s="240"/>
      <c r="V245" s="238"/>
      <c r="W245" s="242"/>
      <c r="X245" s="239"/>
      <c r="Y245" s="239"/>
      <c r="Z245" s="239"/>
      <c r="AA245" s="239"/>
      <c r="AB245" s="239"/>
      <c r="AC245" s="239"/>
      <c r="AD245" s="239"/>
      <c r="AE245" s="239"/>
      <c r="AF245" s="239"/>
      <c r="AG245" s="239"/>
      <c r="AH245" s="239"/>
      <c r="AI245" s="239"/>
      <c r="AJ245" s="239"/>
      <c r="AK245" s="239"/>
      <c r="AL245" s="239"/>
      <c r="AM245" s="4"/>
      <c r="AN245" s="4"/>
    </row>
    <row r="246" ht="15.75" customHeight="1">
      <c r="A246" s="4"/>
      <c r="B246" s="4"/>
      <c r="C246" s="12"/>
      <c r="D246" s="4"/>
      <c r="E246" s="4"/>
      <c r="F246" s="4"/>
      <c r="G246" s="4"/>
      <c r="H246" s="4"/>
      <c r="I246" s="237"/>
      <c r="J246" s="238"/>
      <c r="K246" s="238"/>
      <c r="L246" s="239"/>
      <c r="M246" s="239"/>
      <c r="N246" s="239"/>
      <c r="O246" s="240"/>
      <c r="P246" s="238"/>
      <c r="Q246" s="241"/>
      <c r="R246" s="239"/>
      <c r="S246" s="239"/>
      <c r="T246" s="239"/>
      <c r="U246" s="240"/>
      <c r="V246" s="238"/>
      <c r="W246" s="242"/>
      <c r="X246" s="239"/>
      <c r="Y246" s="239"/>
      <c r="Z246" s="239"/>
      <c r="AA246" s="239"/>
      <c r="AB246" s="239"/>
      <c r="AC246" s="239"/>
      <c r="AD246" s="239"/>
      <c r="AE246" s="239"/>
      <c r="AF246" s="239"/>
      <c r="AG246" s="239"/>
      <c r="AH246" s="239"/>
      <c r="AI246" s="239"/>
      <c r="AJ246" s="239"/>
      <c r="AK246" s="239"/>
      <c r="AL246" s="239"/>
      <c r="AM246" s="4"/>
      <c r="AN246" s="4"/>
    </row>
    <row r="247" ht="15.75" customHeight="1">
      <c r="A247" s="4"/>
      <c r="B247" s="4"/>
      <c r="C247" s="12"/>
      <c r="D247" s="4"/>
      <c r="E247" s="4"/>
      <c r="F247" s="4"/>
      <c r="G247" s="4"/>
      <c r="H247" s="4"/>
      <c r="I247" s="237"/>
      <c r="J247" s="238"/>
      <c r="K247" s="238"/>
      <c r="L247" s="239"/>
      <c r="M247" s="239"/>
      <c r="N247" s="239"/>
      <c r="O247" s="240"/>
      <c r="P247" s="238"/>
      <c r="Q247" s="241"/>
      <c r="R247" s="239"/>
      <c r="S247" s="239"/>
      <c r="T247" s="239"/>
      <c r="U247" s="240"/>
      <c r="V247" s="238"/>
      <c r="W247" s="242"/>
      <c r="X247" s="239"/>
      <c r="Y247" s="239"/>
      <c r="Z247" s="239"/>
      <c r="AA247" s="239"/>
      <c r="AB247" s="239"/>
      <c r="AC247" s="239"/>
      <c r="AD247" s="239"/>
      <c r="AE247" s="239"/>
      <c r="AF247" s="239"/>
      <c r="AG247" s="239"/>
      <c r="AH247" s="239"/>
      <c r="AI247" s="239"/>
      <c r="AJ247" s="239"/>
      <c r="AK247" s="239"/>
      <c r="AL247" s="239"/>
      <c r="AM247" s="4"/>
      <c r="AN247" s="4"/>
    </row>
    <row r="248" ht="15.75" customHeight="1">
      <c r="A248" s="4"/>
      <c r="B248" s="4"/>
      <c r="C248" s="12"/>
      <c r="D248" s="4"/>
      <c r="E248" s="4"/>
      <c r="F248" s="4"/>
      <c r="G248" s="4"/>
      <c r="H248" s="4"/>
      <c r="I248" s="237"/>
      <c r="J248" s="238"/>
      <c r="K248" s="238"/>
      <c r="L248" s="239"/>
      <c r="M248" s="239"/>
      <c r="N248" s="239"/>
      <c r="O248" s="240"/>
      <c r="P248" s="238"/>
      <c r="Q248" s="241"/>
      <c r="R248" s="239"/>
      <c r="S248" s="239"/>
      <c r="T248" s="239"/>
      <c r="U248" s="240"/>
      <c r="V248" s="238"/>
      <c r="W248" s="242"/>
      <c r="X248" s="239"/>
      <c r="Y248" s="239"/>
      <c r="Z248" s="239"/>
      <c r="AA248" s="239"/>
      <c r="AB248" s="239"/>
      <c r="AC248" s="239"/>
      <c r="AD248" s="239"/>
      <c r="AE248" s="239"/>
      <c r="AF248" s="239"/>
      <c r="AG248" s="239"/>
      <c r="AH248" s="239"/>
      <c r="AI248" s="239"/>
      <c r="AJ248" s="239"/>
      <c r="AK248" s="239"/>
      <c r="AL248" s="239"/>
      <c r="AM248" s="4"/>
      <c r="AN248" s="4"/>
    </row>
    <row r="249" ht="15.75" customHeight="1">
      <c r="A249" s="4"/>
      <c r="B249" s="4"/>
      <c r="C249" s="12"/>
      <c r="D249" s="4"/>
      <c r="E249" s="4"/>
      <c r="F249" s="4"/>
      <c r="G249" s="4"/>
      <c r="H249" s="4"/>
      <c r="I249" s="237"/>
      <c r="J249" s="238"/>
      <c r="K249" s="238"/>
      <c r="L249" s="239"/>
      <c r="M249" s="239"/>
      <c r="N249" s="239"/>
      <c r="O249" s="240"/>
      <c r="P249" s="238"/>
      <c r="Q249" s="241"/>
      <c r="R249" s="239"/>
      <c r="S249" s="239"/>
      <c r="T249" s="239"/>
      <c r="U249" s="240"/>
      <c r="V249" s="238"/>
      <c r="W249" s="242"/>
      <c r="X249" s="239"/>
      <c r="Y249" s="239"/>
      <c r="Z249" s="239"/>
      <c r="AA249" s="239"/>
      <c r="AB249" s="239"/>
      <c r="AC249" s="239"/>
      <c r="AD249" s="239"/>
      <c r="AE249" s="239"/>
      <c r="AF249" s="239"/>
      <c r="AG249" s="239"/>
      <c r="AH249" s="239"/>
      <c r="AI249" s="239"/>
      <c r="AJ249" s="239"/>
      <c r="AK249" s="239"/>
      <c r="AL249" s="239"/>
      <c r="AM249" s="4"/>
      <c r="AN249" s="4"/>
    </row>
    <row r="250" ht="15.75" customHeight="1">
      <c r="A250" s="4"/>
      <c r="B250" s="4"/>
      <c r="C250" s="12"/>
      <c r="D250" s="4"/>
      <c r="E250" s="4"/>
      <c r="F250" s="4"/>
      <c r="G250" s="4"/>
      <c r="H250" s="4"/>
      <c r="I250" s="237"/>
      <c r="J250" s="238"/>
      <c r="K250" s="238"/>
      <c r="L250" s="239"/>
      <c r="M250" s="239"/>
      <c r="N250" s="239"/>
      <c r="O250" s="240"/>
      <c r="P250" s="238"/>
      <c r="Q250" s="241"/>
      <c r="R250" s="239"/>
      <c r="S250" s="239"/>
      <c r="T250" s="239"/>
      <c r="U250" s="240"/>
      <c r="V250" s="238"/>
      <c r="W250" s="242"/>
      <c r="X250" s="239"/>
      <c r="Y250" s="239"/>
      <c r="Z250" s="239"/>
      <c r="AA250" s="239"/>
      <c r="AB250" s="239"/>
      <c r="AC250" s="239"/>
      <c r="AD250" s="239"/>
      <c r="AE250" s="239"/>
      <c r="AF250" s="239"/>
      <c r="AG250" s="239"/>
      <c r="AH250" s="239"/>
      <c r="AI250" s="239"/>
      <c r="AJ250" s="239"/>
      <c r="AK250" s="239"/>
      <c r="AL250" s="239"/>
      <c r="AM250" s="4"/>
      <c r="AN250" s="4"/>
    </row>
    <row r="251" ht="15.75" customHeight="1">
      <c r="A251" s="4"/>
      <c r="B251" s="4"/>
      <c r="C251" s="12"/>
      <c r="D251" s="4"/>
      <c r="E251" s="4"/>
      <c r="F251" s="4"/>
      <c r="G251" s="4"/>
      <c r="H251" s="4"/>
      <c r="I251" s="237"/>
      <c r="J251" s="238"/>
      <c r="K251" s="238"/>
      <c r="L251" s="239"/>
      <c r="M251" s="239"/>
      <c r="N251" s="239"/>
      <c r="O251" s="240"/>
      <c r="P251" s="238"/>
      <c r="Q251" s="241"/>
      <c r="R251" s="239"/>
      <c r="S251" s="239"/>
      <c r="T251" s="239"/>
      <c r="U251" s="240"/>
      <c r="V251" s="238"/>
      <c r="W251" s="242"/>
      <c r="X251" s="239"/>
      <c r="Y251" s="239"/>
      <c r="Z251" s="239"/>
      <c r="AA251" s="239"/>
      <c r="AB251" s="239"/>
      <c r="AC251" s="239"/>
      <c r="AD251" s="239"/>
      <c r="AE251" s="239"/>
      <c r="AF251" s="239"/>
      <c r="AG251" s="239"/>
      <c r="AH251" s="239"/>
      <c r="AI251" s="239"/>
      <c r="AJ251" s="239"/>
      <c r="AK251" s="239"/>
      <c r="AL251" s="239"/>
      <c r="AM251" s="4"/>
      <c r="AN251" s="4"/>
    </row>
    <row r="252" ht="15.75" customHeight="1">
      <c r="A252" s="4"/>
      <c r="B252" s="4"/>
      <c r="C252" s="12"/>
      <c r="D252" s="4"/>
      <c r="E252" s="4"/>
      <c r="F252" s="4"/>
      <c r="G252" s="4"/>
      <c r="H252" s="4"/>
      <c r="I252" s="237"/>
      <c r="J252" s="238"/>
      <c r="K252" s="238"/>
      <c r="L252" s="239"/>
      <c r="M252" s="239"/>
      <c r="N252" s="239"/>
      <c r="O252" s="240"/>
      <c r="P252" s="238"/>
      <c r="Q252" s="241"/>
      <c r="R252" s="239"/>
      <c r="S252" s="239"/>
      <c r="T252" s="239"/>
      <c r="U252" s="240"/>
      <c r="V252" s="238"/>
      <c r="W252" s="242"/>
      <c r="X252" s="239"/>
      <c r="Y252" s="239"/>
      <c r="Z252" s="239"/>
      <c r="AA252" s="239"/>
      <c r="AB252" s="239"/>
      <c r="AC252" s="239"/>
      <c r="AD252" s="239"/>
      <c r="AE252" s="239"/>
      <c r="AF252" s="239"/>
      <c r="AG252" s="239"/>
      <c r="AH252" s="239"/>
      <c r="AI252" s="239"/>
      <c r="AJ252" s="239"/>
      <c r="AK252" s="239"/>
      <c r="AL252" s="239"/>
      <c r="AM252" s="4"/>
      <c r="AN252" s="4"/>
    </row>
    <row r="253" ht="15.75" customHeight="1">
      <c r="A253" s="4"/>
      <c r="B253" s="4"/>
      <c r="C253" s="12"/>
      <c r="D253" s="4"/>
      <c r="E253" s="4"/>
      <c r="F253" s="4"/>
      <c r="G253" s="4"/>
      <c r="H253" s="4"/>
      <c r="I253" s="237"/>
      <c r="J253" s="238"/>
      <c r="K253" s="238"/>
      <c r="L253" s="239"/>
      <c r="M253" s="239"/>
      <c r="N253" s="239"/>
      <c r="O253" s="240"/>
      <c r="P253" s="238"/>
      <c r="Q253" s="241"/>
      <c r="R253" s="239"/>
      <c r="S253" s="239"/>
      <c r="T253" s="239"/>
      <c r="U253" s="240"/>
      <c r="V253" s="238"/>
      <c r="W253" s="242"/>
      <c r="X253" s="239"/>
      <c r="Y253" s="239"/>
      <c r="Z253" s="239"/>
      <c r="AA253" s="239"/>
      <c r="AB253" s="239"/>
      <c r="AC253" s="239"/>
      <c r="AD253" s="239"/>
      <c r="AE253" s="239"/>
      <c r="AF253" s="239"/>
      <c r="AG253" s="239"/>
      <c r="AH253" s="239"/>
      <c r="AI253" s="239"/>
      <c r="AJ253" s="239"/>
      <c r="AK253" s="239"/>
      <c r="AL253" s="239"/>
      <c r="AM253" s="4"/>
      <c r="AN253" s="4"/>
    </row>
    <row r="254" ht="15.75" customHeight="1">
      <c r="A254" s="4"/>
      <c r="B254" s="4"/>
      <c r="C254" s="12"/>
      <c r="D254" s="4"/>
      <c r="E254" s="4"/>
      <c r="F254" s="4"/>
      <c r="G254" s="4"/>
      <c r="H254" s="4"/>
      <c r="I254" s="237"/>
      <c r="J254" s="238"/>
      <c r="K254" s="238"/>
      <c r="L254" s="239"/>
      <c r="M254" s="239"/>
      <c r="N254" s="239"/>
      <c r="O254" s="240"/>
      <c r="P254" s="238"/>
      <c r="Q254" s="241"/>
      <c r="R254" s="239"/>
      <c r="S254" s="239"/>
      <c r="T254" s="239"/>
      <c r="U254" s="240"/>
      <c r="V254" s="238"/>
      <c r="W254" s="242"/>
      <c r="X254" s="239"/>
      <c r="Y254" s="239"/>
      <c r="Z254" s="239"/>
      <c r="AA254" s="239"/>
      <c r="AB254" s="239"/>
      <c r="AC254" s="239"/>
      <c r="AD254" s="239"/>
      <c r="AE254" s="239"/>
      <c r="AF254" s="239"/>
      <c r="AG254" s="239"/>
      <c r="AH254" s="239"/>
      <c r="AI254" s="239"/>
      <c r="AJ254" s="239"/>
      <c r="AK254" s="239"/>
      <c r="AL254" s="239"/>
      <c r="AM254" s="4"/>
      <c r="AN254" s="4"/>
    </row>
    <row r="255" ht="15.75" customHeight="1">
      <c r="A255" s="4"/>
      <c r="B255" s="4"/>
      <c r="C255" s="12"/>
      <c r="D255" s="4"/>
      <c r="E255" s="4"/>
      <c r="F255" s="4"/>
      <c r="G255" s="4"/>
      <c r="H255" s="4"/>
      <c r="I255" s="237"/>
      <c r="J255" s="238"/>
      <c r="K255" s="238"/>
      <c r="L255" s="239"/>
      <c r="M255" s="239"/>
      <c r="N255" s="239"/>
      <c r="O255" s="240"/>
      <c r="P255" s="238"/>
      <c r="Q255" s="241"/>
      <c r="R255" s="239"/>
      <c r="S255" s="239"/>
      <c r="T255" s="239"/>
      <c r="U255" s="240"/>
      <c r="V255" s="238"/>
      <c r="W255" s="242"/>
      <c r="X255" s="239"/>
      <c r="Y255" s="239"/>
      <c r="Z255" s="239"/>
      <c r="AA255" s="239"/>
      <c r="AB255" s="239"/>
      <c r="AC255" s="239"/>
      <c r="AD255" s="239"/>
      <c r="AE255" s="239"/>
      <c r="AF255" s="239"/>
      <c r="AG255" s="239"/>
      <c r="AH255" s="239"/>
      <c r="AI255" s="239"/>
      <c r="AJ255" s="239"/>
      <c r="AK255" s="239"/>
      <c r="AL255" s="239"/>
      <c r="AM255" s="4"/>
      <c r="AN255" s="4"/>
    </row>
    <row r="256" ht="15.75" customHeight="1">
      <c r="A256" s="4"/>
      <c r="B256" s="4"/>
      <c r="C256" s="12"/>
      <c r="D256" s="4"/>
      <c r="E256" s="4"/>
      <c r="F256" s="4"/>
      <c r="G256" s="4"/>
      <c r="H256" s="4"/>
      <c r="I256" s="237"/>
      <c r="J256" s="238"/>
      <c r="K256" s="238"/>
      <c r="L256" s="239"/>
      <c r="M256" s="239"/>
      <c r="N256" s="239"/>
      <c r="O256" s="240"/>
      <c r="P256" s="238"/>
      <c r="Q256" s="241"/>
      <c r="R256" s="239"/>
      <c r="S256" s="239"/>
      <c r="T256" s="239"/>
      <c r="U256" s="240"/>
      <c r="V256" s="238"/>
      <c r="W256" s="242"/>
      <c r="X256" s="239"/>
      <c r="Y256" s="239"/>
      <c r="Z256" s="239"/>
      <c r="AA256" s="239"/>
      <c r="AB256" s="239"/>
      <c r="AC256" s="239"/>
      <c r="AD256" s="239"/>
      <c r="AE256" s="239"/>
      <c r="AF256" s="239"/>
      <c r="AG256" s="239"/>
      <c r="AH256" s="239"/>
      <c r="AI256" s="239"/>
      <c r="AJ256" s="239"/>
      <c r="AK256" s="239"/>
      <c r="AL256" s="239"/>
      <c r="AM256" s="4"/>
      <c r="AN256" s="4"/>
    </row>
    <row r="257" ht="15.75" customHeight="1">
      <c r="A257" s="4"/>
      <c r="B257" s="4"/>
      <c r="C257" s="12"/>
      <c r="D257" s="4"/>
      <c r="E257" s="4"/>
      <c r="F257" s="4"/>
      <c r="G257" s="4"/>
      <c r="H257" s="4"/>
      <c r="I257" s="237"/>
      <c r="J257" s="238"/>
      <c r="K257" s="238"/>
      <c r="L257" s="239"/>
      <c r="M257" s="239"/>
      <c r="N257" s="239"/>
      <c r="O257" s="240"/>
      <c r="P257" s="238"/>
      <c r="Q257" s="241"/>
      <c r="R257" s="239"/>
      <c r="S257" s="239"/>
      <c r="T257" s="239"/>
      <c r="U257" s="240"/>
      <c r="V257" s="238"/>
      <c r="W257" s="242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  <c r="AM257" s="4"/>
      <c r="AN257" s="4"/>
    </row>
    <row r="258" ht="15.75" customHeight="1">
      <c r="A258" s="4"/>
      <c r="B258" s="4"/>
      <c r="C258" s="12"/>
      <c r="D258" s="4"/>
      <c r="E258" s="4"/>
      <c r="F258" s="4"/>
      <c r="G258" s="4"/>
      <c r="H258" s="4"/>
      <c r="I258" s="237"/>
      <c r="J258" s="238"/>
      <c r="K258" s="238"/>
      <c r="L258" s="239"/>
      <c r="M258" s="239"/>
      <c r="N258" s="239"/>
      <c r="O258" s="240"/>
      <c r="P258" s="238"/>
      <c r="Q258" s="241"/>
      <c r="R258" s="239"/>
      <c r="S258" s="239"/>
      <c r="T258" s="239"/>
      <c r="U258" s="240"/>
      <c r="V258" s="238"/>
      <c r="W258" s="242"/>
      <c r="X258" s="239"/>
      <c r="Y258" s="239"/>
      <c r="Z258" s="239"/>
      <c r="AA258" s="239"/>
      <c r="AB258" s="239"/>
      <c r="AC258" s="239"/>
      <c r="AD258" s="239"/>
      <c r="AE258" s="239"/>
      <c r="AF258" s="239"/>
      <c r="AG258" s="239"/>
      <c r="AH258" s="239"/>
      <c r="AI258" s="239"/>
      <c r="AJ258" s="239"/>
      <c r="AK258" s="239"/>
      <c r="AL258" s="239"/>
      <c r="AM258" s="4"/>
      <c r="AN258" s="4"/>
    </row>
    <row r="259" ht="15.75" customHeight="1">
      <c r="A259" s="4"/>
      <c r="B259" s="4"/>
      <c r="C259" s="12"/>
      <c r="D259" s="4"/>
      <c r="E259" s="4"/>
      <c r="F259" s="4"/>
      <c r="G259" s="4"/>
      <c r="H259" s="4"/>
      <c r="I259" s="237"/>
      <c r="J259" s="238"/>
      <c r="K259" s="238"/>
      <c r="L259" s="239"/>
      <c r="M259" s="239"/>
      <c r="N259" s="239"/>
      <c r="O259" s="240"/>
      <c r="P259" s="238"/>
      <c r="Q259" s="241"/>
      <c r="R259" s="239"/>
      <c r="S259" s="239"/>
      <c r="T259" s="239"/>
      <c r="U259" s="240"/>
      <c r="V259" s="238"/>
      <c r="W259" s="242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4"/>
      <c r="AN259" s="4"/>
    </row>
    <row r="260" ht="15.75" customHeight="1">
      <c r="A260" s="4"/>
      <c r="B260" s="4"/>
      <c r="C260" s="12"/>
      <c r="D260" s="4"/>
      <c r="E260" s="4"/>
      <c r="F260" s="4"/>
      <c r="G260" s="4"/>
      <c r="H260" s="4"/>
      <c r="I260" s="237"/>
      <c r="J260" s="238"/>
      <c r="K260" s="238"/>
      <c r="L260" s="239"/>
      <c r="M260" s="239"/>
      <c r="N260" s="239"/>
      <c r="O260" s="240"/>
      <c r="P260" s="238"/>
      <c r="Q260" s="241"/>
      <c r="R260" s="239"/>
      <c r="S260" s="239"/>
      <c r="T260" s="239"/>
      <c r="U260" s="240"/>
      <c r="V260" s="238"/>
      <c r="W260" s="242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4"/>
      <c r="AN260" s="4"/>
    </row>
    <row r="261" ht="15.75" customHeight="1">
      <c r="A261" s="4"/>
      <c r="B261" s="4"/>
      <c r="C261" s="12"/>
      <c r="D261" s="4"/>
      <c r="E261" s="4"/>
      <c r="F261" s="4"/>
      <c r="G261" s="4"/>
      <c r="H261" s="4"/>
      <c r="I261" s="237"/>
      <c r="J261" s="238"/>
      <c r="K261" s="238"/>
      <c r="L261" s="239"/>
      <c r="M261" s="239"/>
      <c r="N261" s="239"/>
      <c r="O261" s="240"/>
      <c r="P261" s="238"/>
      <c r="Q261" s="241"/>
      <c r="R261" s="239"/>
      <c r="S261" s="239"/>
      <c r="T261" s="239"/>
      <c r="U261" s="240"/>
      <c r="V261" s="238"/>
      <c r="W261" s="242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4"/>
      <c r="AN261" s="4"/>
    </row>
    <row r="262" ht="15.75" customHeight="1">
      <c r="A262" s="4"/>
      <c r="B262" s="4"/>
      <c r="C262" s="12"/>
      <c r="D262" s="4"/>
      <c r="E262" s="4"/>
      <c r="F262" s="4"/>
      <c r="G262" s="4"/>
      <c r="H262" s="4"/>
      <c r="I262" s="237"/>
      <c r="J262" s="238"/>
      <c r="K262" s="238"/>
      <c r="L262" s="239"/>
      <c r="M262" s="239"/>
      <c r="N262" s="239"/>
      <c r="O262" s="240"/>
      <c r="P262" s="238"/>
      <c r="Q262" s="241"/>
      <c r="R262" s="239"/>
      <c r="S262" s="239"/>
      <c r="T262" s="239"/>
      <c r="U262" s="240"/>
      <c r="V262" s="238"/>
      <c r="W262" s="242"/>
      <c r="X262" s="239"/>
      <c r="Y262" s="239"/>
      <c r="Z262" s="239"/>
      <c r="AA262" s="239"/>
      <c r="AB262" s="239"/>
      <c r="AC262" s="239"/>
      <c r="AD262" s="239"/>
      <c r="AE262" s="239"/>
      <c r="AF262" s="239"/>
      <c r="AG262" s="239"/>
      <c r="AH262" s="239"/>
      <c r="AI262" s="239"/>
      <c r="AJ262" s="239"/>
      <c r="AK262" s="239"/>
      <c r="AL262" s="239"/>
      <c r="AM262" s="4"/>
      <c r="AN262" s="4"/>
    </row>
    <row r="263" ht="15.75" customHeight="1">
      <c r="A263" s="4"/>
      <c r="B263" s="4"/>
      <c r="C263" s="12"/>
      <c r="D263" s="4"/>
      <c r="E263" s="4"/>
      <c r="F263" s="4"/>
      <c r="G263" s="4"/>
      <c r="H263" s="4"/>
      <c r="I263" s="237"/>
      <c r="J263" s="238"/>
      <c r="K263" s="238"/>
      <c r="L263" s="239"/>
      <c r="M263" s="239"/>
      <c r="N263" s="239"/>
      <c r="O263" s="240"/>
      <c r="P263" s="238"/>
      <c r="Q263" s="241"/>
      <c r="R263" s="239"/>
      <c r="S263" s="239"/>
      <c r="T263" s="239"/>
      <c r="U263" s="240"/>
      <c r="V263" s="238"/>
      <c r="W263" s="242"/>
      <c r="X263" s="239"/>
      <c r="Y263" s="239"/>
      <c r="Z263" s="239"/>
      <c r="AA263" s="239"/>
      <c r="AB263" s="239"/>
      <c r="AC263" s="239"/>
      <c r="AD263" s="239"/>
      <c r="AE263" s="239"/>
      <c r="AF263" s="239"/>
      <c r="AG263" s="239"/>
      <c r="AH263" s="239"/>
      <c r="AI263" s="239"/>
      <c r="AJ263" s="239"/>
      <c r="AK263" s="239"/>
      <c r="AL263" s="239"/>
      <c r="AM263" s="4"/>
      <c r="AN263" s="4"/>
    </row>
    <row r="264" ht="15.75" customHeight="1">
      <c r="A264" s="4"/>
      <c r="B264" s="4"/>
      <c r="C264" s="12"/>
      <c r="D264" s="4"/>
      <c r="E264" s="4"/>
      <c r="F264" s="4"/>
      <c r="G264" s="4"/>
      <c r="H264" s="4"/>
      <c r="I264" s="237"/>
      <c r="J264" s="238"/>
      <c r="K264" s="238"/>
      <c r="L264" s="239"/>
      <c r="M264" s="239"/>
      <c r="N264" s="239"/>
      <c r="O264" s="240"/>
      <c r="P264" s="238"/>
      <c r="Q264" s="241"/>
      <c r="R264" s="239"/>
      <c r="S264" s="239"/>
      <c r="T264" s="239"/>
      <c r="U264" s="240"/>
      <c r="V264" s="238"/>
      <c r="W264" s="242"/>
      <c r="X264" s="239"/>
      <c r="Y264" s="239"/>
      <c r="Z264" s="239"/>
      <c r="AA264" s="239"/>
      <c r="AB264" s="239"/>
      <c r="AC264" s="239"/>
      <c r="AD264" s="239"/>
      <c r="AE264" s="239"/>
      <c r="AF264" s="239"/>
      <c r="AG264" s="239"/>
      <c r="AH264" s="239"/>
      <c r="AI264" s="239"/>
      <c r="AJ264" s="239"/>
      <c r="AK264" s="239"/>
      <c r="AL264" s="239"/>
      <c r="AM264" s="4"/>
      <c r="AN264" s="4"/>
    </row>
    <row r="265" ht="15.75" customHeight="1">
      <c r="A265" s="4"/>
      <c r="B265" s="4"/>
      <c r="C265" s="12"/>
      <c r="D265" s="4"/>
      <c r="E265" s="4"/>
      <c r="F265" s="4"/>
      <c r="G265" s="4"/>
      <c r="H265" s="4"/>
      <c r="I265" s="237"/>
      <c r="J265" s="238"/>
      <c r="K265" s="238"/>
      <c r="L265" s="239"/>
      <c r="M265" s="239"/>
      <c r="N265" s="239"/>
      <c r="O265" s="240"/>
      <c r="P265" s="238"/>
      <c r="Q265" s="241"/>
      <c r="R265" s="239"/>
      <c r="S265" s="239"/>
      <c r="T265" s="239"/>
      <c r="U265" s="240"/>
      <c r="V265" s="238"/>
      <c r="W265" s="242"/>
      <c r="X265" s="239"/>
      <c r="Y265" s="239"/>
      <c r="Z265" s="239"/>
      <c r="AA265" s="239"/>
      <c r="AB265" s="239"/>
      <c r="AC265" s="239"/>
      <c r="AD265" s="239"/>
      <c r="AE265" s="239"/>
      <c r="AF265" s="239"/>
      <c r="AG265" s="239"/>
      <c r="AH265" s="239"/>
      <c r="AI265" s="239"/>
      <c r="AJ265" s="239"/>
      <c r="AK265" s="239"/>
      <c r="AL265" s="239"/>
      <c r="AM265" s="4"/>
      <c r="AN265" s="4"/>
    </row>
    <row r="266" ht="15.75" customHeight="1">
      <c r="A266" s="4"/>
      <c r="B266" s="4"/>
      <c r="C266" s="12"/>
      <c r="D266" s="4"/>
      <c r="E266" s="4"/>
      <c r="F266" s="4"/>
      <c r="G266" s="4"/>
      <c r="H266" s="4"/>
      <c r="I266" s="237"/>
      <c r="J266" s="238"/>
      <c r="K266" s="238"/>
      <c r="L266" s="239"/>
      <c r="M266" s="239"/>
      <c r="N266" s="239"/>
      <c r="O266" s="240"/>
      <c r="P266" s="238"/>
      <c r="Q266" s="241"/>
      <c r="R266" s="239"/>
      <c r="S266" s="239"/>
      <c r="T266" s="239"/>
      <c r="U266" s="240"/>
      <c r="V266" s="238"/>
      <c r="W266" s="242"/>
      <c r="X266" s="239"/>
      <c r="Y266" s="239"/>
      <c r="Z266" s="239"/>
      <c r="AA266" s="239"/>
      <c r="AB266" s="239"/>
      <c r="AC266" s="239"/>
      <c r="AD266" s="239"/>
      <c r="AE266" s="239"/>
      <c r="AF266" s="239"/>
      <c r="AG266" s="239"/>
      <c r="AH266" s="239"/>
      <c r="AI266" s="239"/>
      <c r="AJ266" s="239"/>
      <c r="AK266" s="239"/>
      <c r="AL266" s="239"/>
      <c r="AM266" s="4"/>
      <c r="AN266" s="4"/>
    </row>
    <row r="267" ht="15.75" customHeight="1">
      <c r="A267" s="4"/>
      <c r="B267" s="4"/>
      <c r="C267" s="12"/>
      <c r="D267" s="4"/>
      <c r="E267" s="4"/>
      <c r="F267" s="4"/>
      <c r="G267" s="4"/>
      <c r="H267" s="4"/>
      <c r="I267" s="237"/>
      <c r="J267" s="238"/>
      <c r="K267" s="238"/>
      <c r="L267" s="239"/>
      <c r="M267" s="239"/>
      <c r="N267" s="239"/>
      <c r="O267" s="240"/>
      <c r="P267" s="238"/>
      <c r="Q267" s="241"/>
      <c r="R267" s="239"/>
      <c r="S267" s="239"/>
      <c r="T267" s="239"/>
      <c r="U267" s="240"/>
      <c r="V267" s="238"/>
      <c r="W267" s="242"/>
      <c r="X267" s="239"/>
      <c r="Y267" s="239"/>
      <c r="Z267" s="239"/>
      <c r="AA267" s="239"/>
      <c r="AB267" s="239"/>
      <c r="AC267" s="239"/>
      <c r="AD267" s="239"/>
      <c r="AE267" s="239"/>
      <c r="AF267" s="239"/>
      <c r="AG267" s="239"/>
      <c r="AH267" s="239"/>
      <c r="AI267" s="239"/>
      <c r="AJ267" s="239"/>
      <c r="AK267" s="239"/>
      <c r="AL267" s="239"/>
      <c r="AM267" s="4"/>
      <c r="AN267" s="4"/>
    </row>
    <row r="268" ht="15.75" customHeight="1">
      <c r="A268" s="4"/>
      <c r="B268" s="4"/>
      <c r="C268" s="12"/>
      <c r="D268" s="4"/>
      <c r="E268" s="4"/>
      <c r="F268" s="4"/>
      <c r="G268" s="4"/>
      <c r="H268" s="4"/>
      <c r="I268" s="237"/>
      <c r="J268" s="238"/>
      <c r="K268" s="238"/>
      <c r="L268" s="239"/>
      <c r="M268" s="239"/>
      <c r="N268" s="239"/>
      <c r="O268" s="240"/>
      <c r="P268" s="238"/>
      <c r="Q268" s="241"/>
      <c r="R268" s="239"/>
      <c r="S268" s="239"/>
      <c r="T268" s="239"/>
      <c r="U268" s="240"/>
      <c r="V268" s="238"/>
      <c r="W268" s="242"/>
      <c r="X268" s="239"/>
      <c r="Y268" s="239"/>
      <c r="Z268" s="239"/>
      <c r="AA268" s="239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39"/>
      <c r="AL268" s="239"/>
      <c r="AM268" s="4"/>
      <c r="AN268" s="4"/>
    </row>
    <row r="269" ht="15.75" customHeight="1">
      <c r="A269" s="4"/>
      <c r="B269" s="4"/>
      <c r="C269" s="12"/>
      <c r="D269" s="4"/>
      <c r="E269" s="4"/>
      <c r="F269" s="4"/>
      <c r="G269" s="4"/>
      <c r="H269" s="4"/>
      <c r="I269" s="237"/>
      <c r="J269" s="238"/>
      <c r="K269" s="238"/>
      <c r="L269" s="239"/>
      <c r="M269" s="239"/>
      <c r="N269" s="239"/>
      <c r="O269" s="240"/>
      <c r="P269" s="238"/>
      <c r="Q269" s="241"/>
      <c r="R269" s="239"/>
      <c r="S269" s="239"/>
      <c r="T269" s="239"/>
      <c r="U269" s="240"/>
      <c r="V269" s="238"/>
      <c r="W269" s="242"/>
      <c r="X269" s="239"/>
      <c r="Y269" s="239"/>
      <c r="Z269" s="239"/>
      <c r="AA269" s="239"/>
      <c r="AB269" s="239"/>
      <c r="AC269" s="239"/>
      <c r="AD269" s="239"/>
      <c r="AE269" s="239"/>
      <c r="AF269" s="239"/>
      <c r="AG269" s="239"/>
      <c r="AH269" s="239"/>
      <c r="AI269" s="239"/>
      <c r="AJ269" s="239"/>
      <c r="AK269" s="239"/>
      <c r="AL269" s="239"/>
      <c r="AM269" s="4"/>
      <c r="AN269" s="4"/>
    </row>
    <row r="270" ht="15.75" customHeight="1">
      <c r="A270" s="4"/>
      <c r="B270" s="4"/>
      <c r="C270" s="12"/>
      <c r="D270" s="4"/>
      <c r="E270" s="4"/>
      <c r="F270" s="4"/>
      <c r="G270" s="4"/>
      <c r="H270" s="4"/>
      <c r="I270" s="237"/>
      <c r="J270" s="238"/>
      <c r="K270" s="238"/>
      <c r="L270" s="239"/>
      <c r="M270" s="239"/>
      <c r="N270" s="239"/>
      <c r="O270" s="240"/>
      <c r="P270" s="238"/>
      <c r="Q270" s="241"/>
      <c r="R270" s="239"/>
      <c r="S270" s="239"/>
      <c r="T270" s="239"/>
      <c r="U270" s="240"/>
      <c r="V270" s="238"/>
      <c r="W270" s="242"/>
      <c r="X270" s="239"/>
      <c r="Y270" s="239"/>
      <c r="Z270" s="239"/>
      <c r="AA270" s="239"/>
      <c r="AB270" s="239"/>
      <c r="AC270" s="239"/>
      <c r="AD270" s="239"/>
      <c r="AE270" s="239"/>
      <c r="AF270" s="239"/>
      <c r="AG270" s="239"/>
      <c r="AH270" s="239"/>
      <c r="AI270" s="239"/>
      <c r="AJ270" s="239"/>
      <c r="AK270" s="239"/>
      <c r="AL270" s="239"/>
      <c r="AM270" s="4"/>
      <c r="AN270" s="4"/>
    </row>
    <row r="271" ht="15.75" customHeight="1">
      <c r="A271" s="4"/>
      <c r="B271" s="4"/>
      <c r="C271" s="12"/>
      <c r="D271" s="4"/>
      <c r="E271" s="4"/>
      <c r="F271" s="4"/>
      <c r="G271" s="4"/>
      <c r="H271" s="4"/>
      <c r="I271" s="237"/>
      <c r="J271" s="238"/>
      <c r="K271" s="238"/>
      <c r="L271" s="239"/>
      <c r="M271" s="239"/>
      <c r="N271" s="239"/>
      <c r="O271" s="240"/>
      <c r="P271" s="238"/>
      <c r="Q271" s="241"/>
      <c r="R271" s="239"/>
      <c r="S271" s="239"/>
      <c r="T271" s="239"/>
      <c r="U271" s="240"/>
      <c r="V271" s="238"/>
      <c r="W271" s="242"/>
      <c r="X271" s="239"/>
      <c r="Y271" s="239"/>
      <c r="Z271" s="239"/>
      <c r="AA271" s="239"/>
      <c r="AB271" s="239"/>
      <c r="AC271" s="239"/>
      <c r="AD271" s="239"/>
      <c r="AE271" s="239"/>
      <c r="AF271" s="239"/>
      <c r="AG271" s="239"/>
      <c r="AH271" s="239"/>
      <c r="AI271" s="239"/>
      <c r="AJ271" s="239"/>
      <c r="AK271" s="239"/>
      <c r="AL271" s="239"/>
      <c r="AM271" s="4"/>
      <c r="AN271" s="4"/>
    </row>
    <row r="272" ht="15.75" customHeight="1">
      <c r="A272" s="4"/>
      <c r="B272" s="4"/>
      <c r="C272" s="12"/>
      <c r="D272" s="4"/>
      <c r="E272" s="4"/>
      <c r="F272" s="4"/>
      <c r="G272" s="4"/>
      <c r="H272" s="4"/>
      <c r="I272" s="237"/>
      <c r="J272" s="238"/>
      <c r="K272" s="238"/>
      <c r="L272" s="239"/>
      <c r="M272" s="239"/>
      <c r="N272" s="239"/>
      <c r="O272" s="240"/>
      <c r="P272" s="238"/>
      <c r="Q272" s="241"/>
      <c r="R272" s="239"/>
      <c r="S272" s="239"/>
      <c r="T272" s="239"/>
      <c r="U272" s="240"/>
      <c r="V272" s="238"/>
      <c r="W272" s="242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4"/>
      <c r="AN272" s="4"/>
    </row>
    <row r="273" ht="15.75" customHeight="1">
      <c r="A273" s="4"/>
      <c r="B273" s="4"/>
      <c r="C273" s="12"/>
      <c r="D273" s="4"/>
      <c r="E273" s="4"/>
      <c r="F273" s="4"/>
      <c r="G273" s="4"/>
      <c r="H273" s="4"/>
      <c r="I273" s="237"/>
      <c r="J273" s="238"/>
      <c r="K273" s="238"/>
      <c r="L273" s="239"/>
      <c r="M273" s="239"/>
      <c r="N273" s="239"/>
      <c r="O273" s="240"/>
      <c r="P273" s="238"/>
      <c r="Q273" s="241"/>
      <c r="R273" s="239"/>
      <c r="S273" s="239"/>
      <c r="T273" s="239"/>
      <c r="U273" s="240"/>
      <c r="V273" s="238"/>
      <c r="W273" s="242"/>
      <c r="X273" s="239"/>
      <c r="Y273" s="239"/>
      <c r="Z273" s="239"/>
      <c r="AA273" s="239"/>
      <c r="AB273" s="239"/>
      <c r="AC273" s="239"/>
      <c r="AD273" s="239"/>
      <c r="AE273" s="239"/>
      <c r="AF273" s="239"/>
      <c r="AG273" s="239"/>
      <c r="AH273" s="239"/>
      <c r="AI273" s="239"/>
      <c r="AJ273" s="239"/>
      <c r="AK273" s="239"/>
      <c r="AL273" s="239"/>
      <c r="AM273" s="4"/>
      <c r="AN273" s="4"/>
    </row>
    <row r="274" ht="15.75" customHeight="1">
      <c r="A274" s="4"/>
      <c r="B274" s="4"/>
      <c r="C274" s="12"/>
      <c r="D274" s="4"/>
      <c r="E274" s="4"/>
      <c r="F274" s="4"/>
      <c r="G274" s="4"/>
      <c r="H274" s="4"/>
      <c r="I274" s="237"/>
      <c r="J274" s="238"/>
      <c r="K274" s="238"/>
      <c r="L274" s="239"/>
      <c r="M274" s="239"/>
      <c r="N274" s="239"/>
      <c r="O274" s="240"/>
      <c r="P274" s="238"/>
      <c r="Q274" s="241"/>
      <c r="R274" s="239"/>
      <c r="S274" s="239"/>
      <c r="T274" s="239"/>
      <c r="U274" s="240"/>
      <c r="V274" s="238"/>
      <c r="W274" s="242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4"/>
      <c r="AN274" s="4"/>
    </row>
    <row r="275" ht="15.75" customHeight="1">
      <c r="A275" s="4"/>
      <c r="B275" s="4"/>
      <c r="C275" s="12"/>
      <c r="D275" s="4"/>
      <c r="E275" s="4"/>
      <c r="F275" s="4"/>
      <c r="G275" s="4"/>
      <c r="H275" s="4"/>
      <c r="I275" s="237"/>
      <c r="J275" s="238"/>
      <c r="K275" s="238"/>
      <c r="L275" s="239"/>
      <c r="M275" s="239"/>
      <c r="N275" s="239"/>
      <c r="O275" s="240"/>
      <c r="P275" s="238"/>
      <c r="Q275" s="241"/>
      <c r="R275" s="239"/>
      <c r="S275" s="239"/>
      <c r="T275" s="239"/>
      <c r="U275" s="240"/>
      <c r="V275" s="238"/>
      <c r="W275" s="242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4"/>
      <c r="AN275" s="4"/>
    </row>
    <row r="276" ht="15.75" customHeight="1">
      <c r="A276" s="4"/>
      <c r="B276" s="4"/>
      <c r="C276" s="12"/>
      <c r="D276" s="4"/>
      <c r="E276" s="4"/>
      <c r="F276" s="4"/>
      <c r="G276" s="4"/>
      <c r="H276" s="4"/>
      <c r="I276" s="237"/>
      <c r="J276" s="238"/>
      <c r="K276" s="238"/>
      <c r="L276" s="239"/>
      <c r="M276" s="239"/>
      <c r="N276" s="239"/>
      <c r="O276" s="240"/>
      <c r="P276" s="238"/>
      <c r="Q276" s="241"/>
      <c r="R276" s="239"/>
      <c r="S276" s="239"/>
      <c r="T276" s="239"/>
      <c r="U276" s="240"/>
      <c r="V276" s="238"/>
      <c r="W276" s="242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4"/>
      <c r="AN276" s="4"/>
    </row>
    <row r="277" ht="15.75" customHeight="1">
      <c r="A277" s="4"/>
      <c r="B277" s="4"/>
      <c r="C277" s="12"/>
      <c r="D277" s="4"/>
      <c r="E277" s="4"/>
      <c r="F277" s="4"/>
      <c r="G277" s="4"/>
      <c r="H277" s="4"/>
      <c r="I277" s="237"/>
      <c r="J277" s="238"/>
      <c r="K277" s="238"/>
      <c r="L277" s="239"/>
      <c r="M277" s="239"/>
      <c r="N277" s="239"/>
      <c r="O277" s="240"/>
      <c r="P277" s="238"/>
      <c r="Q277" s="241"/>
      <c r="R277" s="239"/>
      <c r="S277" s="239"/>
      <c r="T277" s="239"/>
      <c r="U277" s="240"/>
      <c r="V277" s="238"/>
      <c r="W277" s="242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4"/>
      <c r="AN277" s="4"/>
    </row>
    <row r="278" ht="15.75" customHeight="1">
      <c r="A278" s="4"/>
      <c r="B278" s="4"/>
      <c r="C278" s="12"/>
      <c r="D278" s="4"/>
      <c r="E278" s="4"/>
      <c r="F278" s="4"/>
      <c r="G278" s="4"/>
      <c r="H278" s="4"/>
      <c r="I278" s="237"/>
      <c r="J278" s="238"/>
      <c r="K278" s="238"/>
      <c r="L278" s="239"/>
      <c r="M278" s="239"/>
      <c r="N278" s="239"/>
      <c r="O278" s="240"/>
      <c r="P278" s="238"/>
      <c r="Q278" s="241"/>
      <c r="R278" s="239"/>
      <c r="S278" s="239"/>
      <c r="T278" s="239"/>
      <c r="U278" s="240"/>
      <c r="V278" s="238"/>
      <c r="W278" s="242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4"/>
      <c r="AN278" s="4"/>
    </row>
    <row r="279" ht="15.75" customHeight="1">
      <c r="A279" s="4"/>
      <c r="B279" s="4"/>
      <c r="C279" s="12"/>
      <c r="D279" s="4"/>
      <c r="E279" s="4"/>
      <c r="F279" s="4"/>
      <c r="G279" s="4"/>
      <c r="H279" s="4"/>
      <c r="I279" s="237"/>
      <c r="J279" s="238"/>
      <c r="K279" s="238"/>
      <c r="L279" s="239"/>
      <c r="M279" s="239"/>
      <c r="N279" s="239"/>
      <c r="O279" s="240"/>
      <c r="P279" s="238"/>
      <c r="Q279" s="241"/>
      <c r="R279" s="239"/>
      <c r="S279" s="239"/>
      <c r="T279" s="239"/>
      <c r="U279" s="240"/>
      <c r="V279" s="238"/>
      <c r="W279" s="242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4"/>
      <c r="AN279" s="4"/>
    </row>
    <row r="280" ht="15.75" customHeight="1">
      <c r="A280" s="4"/>
      <c r="B280" s="4"/>
      <c r="C280" s="12"/>
      <c r="D280" s="4"/>
      <c r="E280" s="4"/>
      <c r="F280" s="4"/>
      <c r="G280" s="4"/>
      <c r="H280" s="4"/>
      <c r="I280" s="237"/>
      <c r="J280" s="238"/>
      <c r="K280" s="238"/>
      <c r="L280" s="239"/>
      <c r="M280" s="239"/>
      <c r="N280" s="239"/>
      <c r="O280" s="240"/>
      <c r="P280" s="238"/>
      <c r="Q280" s="241"/>
      <c r="R280" s="239"/>
      <c r="S280" s="239"/>
      <c r="T280" s="239"/>
      <c r="U280" s="240"/>
      <c r="V280" s="238"/>
      <c r="W280" s="242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4"/>
      <c r="AN280" s="4"/>
    </row>
    <row r="281" ht="15.75" customHeight="1">
      <c r="A281" s="4"/>
      <c r="B281" s="4"/>
      <c r="C281" s="12"/>
      <c r="D281" s="4"/>
      <c r="E281" s="4"/>
      <c r="F281" s="4"/>
      <c r="G281" s="4"/>
      <c r="H281" s="4"/>
      <c r="I281" s="237"/>
      <c r="J281" s="238"/>
      <c r="K281" s="238"/>
      <c r="L281" s="239"/>
      <c r="M281" s="239"/>
      <c r="N281" s="239"/>
      <c r="O281" s="240"/>
      <c r="P281" s="238"/>
      <c r="Q281" s="241"/>
      <c r="R281" s="239"/>
      <c r="S281" s="239"/>
      <c r="T281" s="239"/>
      <c r="U281" s="240"/>
      <c r="V281" s="238"/>
      <c r="W281" s="242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4"/>
      <c r="AN281" s="4"/>
    </row>
    <row r="282" ht="15.75" customHeight="1">
      <c r="A282" s="4"/>
      <c r="B282" s="4"/>
      <c r="C282" s="12"/>
      <c r="D282" s="4"/>
      <c r="E282" s="4"/>
      <c r="F282" s="4"/>
      <c r="G282" s="4"/>
      <c r="H282" s="4"/>
      <c r="I282" s="237"/>
      <c r="J282" s="238"/>
      <c r="K282" s="238"/>
      <c r="L282" s="239"/>
      <c r="M282" s="239"/>
      <c r="N282" s="239"/>
      <c r="O282" s="240"/>
      <c r="P282" s="238"/>
      <c r="Q282" s="241"/>
      <c r="R282" s="239"/>
      <c r="S282" s="239"/>
      <c r="T282" s="239"/>
      <c r="U282" s="240"/>
      <c r="V282" s="238"/>
      <c r="W282" s="242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4"/>
      <c r="AN282" s="4"/>
    </row>
    <row r="283" ht="15.75" customHeight="1">
      <c r="A283" s="4"/>
      <c r="B283" s="4"/>
      <c r="C283" s="12"/>
      <c r="D283" s="4"/>
      <c r="E283" s="4"/>
      <c r="F283" s="4"/>
      <c r="G283" s="4"/>
      <c r="H283" s="4"/>
      <c r="I283" s="237"/>
      <c r="J283" s="238"/>
      <c r="K283" s="238"/>
      <c r="L283" s="239"/>
      <c r="M283" s="239"/>
      <c r="N283" s="239"/>
      <c r="O283" s="240"/>
      <c r="P283" s="238"/>
      <c r="Q283" s="241"/>
      <c r="R283" s="239"/>
      <c r="S283" s="239"/>
      <c r="T283" s="239"/>
      <c r="U283" s="240"/>
      <c r="V283" s="238"/>
      <c r="W283" s="242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4"/>
      <c r="AN283" s="4"/>
    </row>
    <row r="284" ht="15.75" customHeight="1">
      <c r="A284" s="4"/>
      <c r="B284" s="4"/>
      <c r="C284" s="12"/>
      <c r="D284" s="4"/>
      <c r="E284" s="4"/>
      <c r="F284" s="4"/>
      <c r="G284" s="4"/>
      <c r="H284" s="4"/>
      <c r="I284" s="237"/>
      <c r="J284" s="238"/>
      <c r="K284" s="238"/>
      <c r="L284" s="239"/>
      <c r="M284" s="239"/>
      <c r="N284" s="239"/>
      <c r="O284" s="240"/>
      <c r="P284" s="238"/>
      <c r="Q284" s="241"/>
      <c r="R284" s="239"/>
      <c r="S284" s="239"/>
      <c r="T284" s="239"/>
      <c r="U284" s="240"/>
      <c r="V284" s="238"/>
      <c r="W284" s="242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4"/>
      <c r="AN284" s="4"/>
    </row>
    <row r="285" ht="15.75" customHeight="1">
      <c r="A285" s="4"/>
      <c r="B285" s="4"/>
      <c r="C285" s="12"/>
      <c r="D285" s="4"/>
      <c r="E285" s="4"/>
      <c r="F285" s="4"/>
      <c r="G285" s="4"/>
      <c r="H285" s="4"/>
      <c r="I285" s="237"/>
      <c r="J285" s="238"/>
      <c r="K285" s="238"/>
      <c r="L285" s="239"/>
      <c r="M285" s="239"/>
      <c r="N285" s="239"/>
      <c r="O285" s="240"/>
      <c r="P285" s="238"/>
      <c r="Q285" s="241"/>
      <c r="R285" s="239"/>
      <c r="S285" s="239"/>
      <c r="T285" s="239"/>
      <c r="U285" s="240"/>
      <c r="V285" s="238"/>
      <c r="W285" s="242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4"/>
      <c r="AN285" s="4"/>
    </row>
    <row r="286" ht="15.75" customHeight="1">
      <c r="A286" s="4"/>
      <c r="B286" s="4"/>
      <c r="C286" s="12"/>
      <c r="D286" s="4"/>
      <c r="E286" s="4"/>
      <c r="F286" s="4"/>
      <c r="G286" s="4"/>
      <c r="H286" s="4"/>
      <c r="I286" s="237"/>
      <c r="J286" s="238"/>
      <c r="K286" s="238"/>
      <c r="L286" s="239"/>
      <c r="M286" s="239"/>
      <c r="N286" s="239"/>
      <c r="O286" s="240"/>
      <c r="P286" s="238"/>
      <c r="Q286" s="241"/>
      <c r="R286" s="239"/>
      <c r="S286" s="239"/>
      <c r="T286" s="239"/>
      <c r="U286" s="240"/>
      <c r="V286" s="238"/>
      <c r="W286" s="242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4"/>
      <c r="AN286" s="4"/>
    </row>
    <row r="287" ht="15.75" customHeight="1">
      <c r="A287" s="4"/>
      <c r="B287" s="4"/>
      <c r="C287" s="12"/>
      <c r="D287" s="4"/>
      <c r="E287" s="4"/>
      <c r="F287" s="4"/>
      <c r="G287" s="4"/>
      <c r="H287" s="4"/>
      <c r="I287" s="237"/>
      <c r="J287" s="238"/>
      <c r="K287" s="238"/>
      <c r="L287" s="239"/>
      <c r="M287" s="239"/>
      <c r="N287" s="239"/>
      <c r="O287" s="240"/>
      <c r="P287" s="238"/>
      <c r="Q287" s="241"/>
      <c r="R287" s="239"/>
      <c r="S287" s="239"/>
      <c r="T287" s="239"/>
      <c r="U287" s="240"/>
      <c r="V287" s="238"/>
      <c r="W287" s="242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4"/>
      <c r="AN287" s="4"/>
    </row>
    <row r="288" ht="15.75" customHeight="1">
      <c r="A288" s="4"/>
      <c r="B288" s="4"/>
      <c r="C288" s="12"/>
      <c r="D288" s="4"/>
      <c r="E288" s="4"/>
      <c r="F288" s="4"/>
      <c r="G288" s="4"/>
      <c r="H288" s="4"/>
      <c r="I288" s="237"/>
      <c r="J288" s="238"/>
      <c r="K288" s="238"/>
      <c r="L288" s="239"/>
      <c r="M288" s="239"/>
      <c r="N288" s="239"/>
      <c r="O288" s="240"/>
      <c r="P288" s="238"/>
      <c r="Q288" s="241"/>
      <c r="R288" s="239"/>
      <c r="S288" s="239"/>
      <c r="T288" s="239"/>
      <c r="U288" s="240"/>
      <c r="V288" s="238"/>
      <c r="W288" s="242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4"/>
      <c r="AN288" s="4"/>
    </row>
    <row r="289" ht="15.75" customHeight="1">
      <c r="A289" s="4"/>
      <c r="B289" s="4"/>
      <c r="C289" s="12"/>
      <c r="D289" s="4"/>
      <c r="E289" s="4"/>
      <c r="F289" s="4"/>
      <c r="G289" s="4"/>
      <c r="H289" s="4"/>
      <c r="I289" s="237"/>
      <c r="J289" s="238"/>
      <c r="K289" s="238"/>
      <c r="L289" s="239"/>
      <c r="M289" s="239"/>
      <c r="N289" s="239"/>
      <c r="O289" s="240"/>
      <c r="P289" s="238"/>
      <c r="Q289" s="241"/>
      <c r="R289" s="239"/>
      <c r="S289" s="239"/>
      <c r="T289" s="239"/>
      <c r="U289" s="240"/>
      <c r="V289" s="238"/>
      <c r="W289" s="242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4"/>
      <c r="AN289" s="4"/>
    </row>
    <row r="290" ht="15.75" customHeight="1">
      <c r="A290" s="4"/>
      <c r="B290" s="4"/>
      <c r="C290" s="12"/>
      <c r="D290" s="4"/>
      <c r="E290" s="4"/>
      <c r="F290" s="4"/>
      <c r="G290" s="4"/>
      <c r="H290" s="4"/>
      <c r="I290" s="237"/>
      <c r="J290" s="238"/>
      <c r="K290" s="238"/>
      <c r="L290" s="239"/>
      <c r="M290" s="239"/>
      <c r="N290" s="239"/>
      <c r="O290" s="240"/>
      <c r="P290" s="238"/>
      <c r="Q290" s="241"/>
      <c r="R290" s="239"/>
      <c r="S290" s="239"/>
      <c r="T290" s="239"/>
      <c r="U290" s="240"/>
      <c r="V290" s="238"/>
      <c r="W290" s="242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4"/>
      <c r="AN290" s="4"/>
    </row>
    <row r="291" ht="15.75" customHeight="1">
      <c r="A291" s="4"/>
      <c r="B291" s="4"/>
      <c r="C291" s="12"/>
      <c r="D291" s="4"/>
      <c r="E291" s="4"/>
      <c r="F291" s="4"/>
      <c r="G291" s="4"/>
      <c r="H291" s="4"/>
      <c r="I291" s="237"/>
      <c r="J291" s="238"/>
      <c r="K291" s="238"/>
      <c r="L291" s="239"/>
      <c r="M291" s="239"/>
      <c r="N291" s="239"/>
      <c r="O291" s="240"/>
      <c r="P291" s="238"/>
      <c r="Q291" s="241"/>
      <c r="R291" s="239"/>
      <c r="S291" s="239"/>
      <c r="T291" s="239"/>
      <c r="U291" s="240"/>
      <c r="V291" s="238"/>
      <c r="W291" s="242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4"/>
      <c r="AN291" s="4"/>
    </row>
    <row r="292" ht="15.75" customHeight="1">
      <c r="A292" s="4"/>
      <c r="B292" s="4"/>
      <c r="C292" s="12"/>
      <c r="D292" s="4"/>
      <c r="E292" s="4"/>
      <c r="F292" s="4"/>
      <c r="G292" s="4"/>
      <c r="H292" s="4"/>
      <c r="I292" s="237"/>
      <c r="J292" s="238"/>
      <c r="K292" s="238"/>
      <c r="L292" s="239"/>
      <c r="M292" s="239"/>
      <c r="N292" s="239"/>
      <c r="O292" s="240"/>
      <c r="P292" s="238"/>
      <c r="Q292" s="241"/>
      <c r="R292" s="239"/>
      <c r="S292" s="239"/>
      <c r="T292" s="239"/>
      <c r="U292" s="240"/>
      <c r="V292" s="238"/>
      <c r="W292" s="242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4"/>
      <c r="AN292" s="4"/>
    </row>
    <row r="293" ht="15.75" customHeight="1">
      <c r="A293" s="4"/>
      <c r="B293" s="4"/>
      <c r="C293" s="12"/>
      <c r="D293" s="4"/>
      <c r="E293" s="4"/>
      <c r="F293" s="4"/>
      <c r="G293" s="4"/>
      <c r="H293" s="4"/>
      <c r="I293" s="237"/>
      <c r="J293" s="238"/>
      <c r="K293" s="238"/>
      <c r="L293" s="239"/>
      <c r="M293" s="239"/>
      <c r="N293" s="239"/>
      <c r="O293" s="240"/>
      <c r="P293" s="238"/>
      <c r="Q293" s="241"/>
      <c r="R293" s="239"/>
      <c r="S293" s="239"/>
      <c r="T293" s="239"/>
      <c r="U293" s="240"/>
      <c r="V293" s="238"/>
      <c r="W293" s="242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4"/>
      <c r="AN293" s="4"/>
    </row>
    <row r="294" ht="15.75" customHeight="1">
      <c r="A294" s="4"/>
      <c r="B294" s="4"/>
      <c r="C294" s="12"/>
      <c r="D294" s="4"/>
      <c r="E294" s="4"/>
      <c r="F294" s="4"/>
      <c r="G294" s="4"/>
      <c r="H294" s="4"/>
      <c r="I294" s="237"/>
      <c r="J294" s="238"/>
      <c r="K294" s="238"/>
      <c r="L294" s="239"/>
      <c r="M294" s="239"/>
      <c r="N294" s="239"/>
      <c r="O294" s="240"/>
      <c r="P294" s="238"/>
      <c r="Q294" s="241"/>
      <c r="R294" s="239"/>
      <c r="S294" s="239"/>
      <c r="T294" s="239"/>
      <c r="U294" s="240"/>
      <c r="V294" s="238"/>
      <c r="W294" s="242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4"/>
      <c r="AN294" s="4"/>
    </row>
    <row r="295" ht="15.75" customHeight="1">
      <c r="A295" s="4"/>
      <c r="B295" s="4"/>
      <c r="C295" s="12"/>
      <c r="D295" s="4"/>
      <c r="E295" s="4"/>
      <c r="F295" s="4"/>
      <c r="G295" s="4"/>
      <c r="H295" s="4"/>
      <c r="I295" s="237"/>
      <c r="J295" s="238"/>
      <c r="K295" s="238"/>
      <c r="L295" s="239"/>
      <c r="M295" s="239"/>
      <c r="N295" s="239"/>
      <c r="O295" s="240"/>
      <c r="P295" s="238"/>
      <c r="Q295" s="241"/>
      <c r="R295" s="239"/>
      <c r="S295" s="239"/>
      <c r="T295" s="239"/>
      <c r="U295" s="240"/>
      <c r="V295" s="238"/>
      <c r="W295" s="242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4"/>
      <c r="AN295" s="4"/>
    </row>
    <row r="296" ht="15.75" customHeight="1">
      <c r="A296" s="4"/>
      <c r="B296" s="4"/>
      <c r="C296" s="12"/>
      <c r="D296" s="4"/>
      <c r="E296" s="4"/>
      <c r="F296" s="4"/>
      <c r="G296" s="4"/>
      <c r="H296" s="4"/>
      <c r="I296" s="237"/>
      <c r="J296" s="238"/>
      <c r="K296" s="238"/>
      <c r="L296" s="239"/>
      <c r="M296" s="239"/>
      <c r="N296" s="239"/>
      <c r="O296" s="240"/>
      <c r="P296" s="238"/>
      <c r="Q296" s="241"/>
      <c r="R296" s="239"/>
      <c r="S296" s="239"/>
      <c r="T296" s="239"/>
      <c r="U296" s="240"/>
      <c r="V296" s="238"/>
      <c r="W296" s="242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4"/>
      <c r="AN296" s="4"/>
    </row>
    <row r="297" ht="15.75" customHeight="1">
      <c r="A297" s="4"/>
      <c r="B297" s="4"/>
      <c r="C297" s="12"/>
      <c r="D297" s="4"/>
      <c r="E297" s="4"/>
      <c r="F297" s="4"/>
      <c r="G297" s="4"/>
      <c r="H297" s="4"/>
      <c r="I297" s="237"/>
      <c r="J297" s="238"/>
      <c r="K297" s="238"/>
      <c r="L297" s="239"/>
      <c r="M297" s="239"/>
      <c r="N297" s="239"/>
      <c r="O297" s="240"/>
      <c r="P297" s="238"/>
      <c r="Q297" s="241"/>
      <c r="R297" s="239"/>
      <c r="S297" s="239"/>
      <c r="T297" s="239"/>
      <c r="U297" s="240"/>
      <c r="V297" s="238"/>
      <c r="W297" s="242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4"/>
      <c r="AN297" s="4"/>
    </row>
    <row r="298" ht="15.75" customHeight="1">
      <c r="A298" s="4"/>
      <c r="B298" s="4"/>
      <c r="C298" s="12"/>
      <c r="D298" s="4"/>
      <c r="E298" s="4"/>
      <c r="F298" s="4"/>
      <c r="G298" s="4"/>
      <c r="H298" s="4"/>
      <c r="I298" s="237"/>
      <c r="J298" s="238"/>
      <c r="K298" s="238"/>
      <c r="L298" s="239"/>
      <c r="M298" s="239"/>
      <c r="N298" s="239"/>
      <c r="O298" s="240"/>
      <c r="P298" s="238"/>
      <c r="Q298" s="241"/>
      <c r="R298" s="239"/>
      <c r="S298" s="239"/>
      <c r="T298" s="239"/>
      <c r="U298" s="240"/>
      <c r="V298" s="238"/>
      <c r="W298" s="242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4"/>
      <c r="AN298" s="4"/>
    </row>
    <row r="299" ht="15.75" customHeight="1">
      <c r="A299" s="4"/>
      <c r="B299" s="4"/>
      <c r="C299" s="12"/>
      <c r="D299" s="4"/>
      <c r="E299" s="4"/>
      <c r="F299" s="4"/>
      <c r="G299" s="4"/>
      <c r="H299" s="4"/>
      <c r="I299" s="237"/>
      <c r="J299" s="238"/>
      <c r="K299" s="238"/>
      <c r="L299" s="239"/>
      <c r="M299" s="239"/>
      <c r="N299" s="239"/>
      <c r="O299" s="240"/>
      <c r="P299" s="238"/>
      <c r="Q299" s="241"/>
      <c r="R299" s="239"/>
      <c r="S299" s="239"/>
      <c r="T299" s="239"/>
      <c r="U299" s="240"/>
      <c r="V299" s="238"/>
      <c r="W299" s="242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4"/>
      <c r="AN299" s="4"/>
    </row>
    <row r="300" ht="15.75" customHeight="1">
      <c r="A300" s="4"/>
      <c r="B300" s="4"/>
      <c r="C300" s="12"/>
      <c r="D300" s="4"/>
      <c r="E300" s="4"/>
      <c r="F300" s="4"/>
      <c r="G300" s="4"/>
      <c r="H300" s="4"/>
      <c r="I300" s="237"/>
      <c r="J300" s="238"/>
      <c r="K300" s="238"/>
      <c r="L300" s="239"/>
      <c r="M300" s="239"/>
      <c r="N300" s="239"/>
      <c r="O300" s="240"/>
      <c r="P300" s="238"/>
      <c r="Q300" s="241"/>
      <c r="R300" s="239"/>
      <c r="S300" s="239"/>
      <c r="T300" s="239"/>
      <c r="U300" s="240"/>
      <c r="V300" s="238"/>
      <c r="W300" s="242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4"/>
      <c r="AN300" s="4"/>
    </row>
    <row r="301" ht="15.75" customHeight="1">
      <c r="A301" s="4"/>
      <c r="B301" s="4"/>
      <c r="C301" s="12"/>
      <c r="D301" s="4"/>
      <c r="E301" s="4"/>
      <c r="F301" s="4"/>
      <c r="G301" s="4"/>
      <c r="H301" s="4"/>
      <c r="I301" s="237"/>
      <c r="J301" s="238"/>
      <c r="K301" s="238"/>
      <c r="L301" s="239"/>
      <c r="M301" s="239"/>
      <c r="N301" s="239"/>
      <c r="O301" s="240"/>
      <c r="P301" s="238"/>
      <c r="Q301" s="241"/>
      <c r="R301" s="239"/>
      <c r="S301" s="239"/>
      <c r="T301" s="239"/>
      <c r="U301" s="240"/>
      <c r="V301" s="238"/>
      <c r="W301" s="242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4"/>
      <c r="AN301" s="4"/>
    </row>
    <row r="302" ht="15.75" customHeight="1">
      <c r="A302" s="4"/>
      <c r="B302" s="4"/>
      <c r="C302" s="12"/>
      <c r="D302" s="4"/>
      <c r="E302" s="4"/>
      <c r="F302" s="4"/>
      <c r="G302" s="4"/>
      <c r="H302" s="4"/>
      <c r="I302" s="237"/>
      <c r="J302" s="238"/>
      <c r="K302" s="238"/>
      <c r="L302" s="239"/>
      <c r="M302" s="239"/>
      <c r="N302" s="239"/>
      <c r="O302" s="240"/>
      <c r="P302" s="238"/>
      <c r="Q302" s="241"/>
      <c r="R302" s="239"/>
      <c r="S302" s="239"/>
      <c r="T302" s="239"/>
      <c r="U302" s="240"/>
      <c r="V302" s="238"/>
      <c r="W302" s="242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4"/>
      <c r="AN302" s="4"/>
    </row>
    <row r="303" ht="15.75" customHeight="1">
      <c r="A303" s="4"/>
      <c r="B303" s="4"/>
      <c r="C303" s="12"/>
      <c r="D303" s="4"/>
      <c r="E303" s="4"/>
      <c r="F303" s="4"/>
      <c r="G303" s="4"/>
      <c r="H303" s="4"/>
      <c r="I303" s="237"/>
      <c r="J303" s="238"/>
      <c r="K303" s="238"/>
      <c r="L303" s="239"/>
      <c r="M303" s="239"/>
      <c r="N303" s="239"/>
      <c r="O303" s="240"/>
      <c r="P303" s="238"/>
      <c r="Q303" s="241"/>
      <c r="R303" s="239"/>
      <c r="S303" s="239"/>
      <c r="T303" s="239"/>
      <c r="U303" s="240"/>
      <c r="V303" s="238"/>
      <c r="W303" s="242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4"/>
      <c r="AN303" s="4"/>
    </row>
    <row r="304" ht="15.75" customHeight="1">
      <c r="A304" s="4"/>
      <c r="B304" s="4"/>
      <c r="C304" s="12"/>
      <c r="D304" s="4"/>
      <c r="E304" s="4"/>
      <c r="F304" s="4"/>
      <c r="G304" s="4"/>
      <c r="H304" s="4"/>
      <c r="I304" s="237"/>
      <c r="J304" s="238"/>
      <c r="K304" s="238"/>
      <c r="L304" s="239"/>
      <c r="M304" s="239"/>
      <c r="N304" s="239"/>
      <c r="O304" s="240"/>
      <c r="P304" s="238"/>
      <c r="Q304" s="241"/>
      <c r="R304" s="239"/>
      <c r="S304" s="239"/>
      <c r="T304" s="239"/>
      <c r="U304" s="240"/>
      <c r="V304" s="238"/>
      <c r="W304" s="242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4"/>
      <c r="AN304" s="4"/>
    </row>
    <row r="305" ht="15.75" customHeight="1">
      <c r="A305" s="4"/>
      <c r="B305" s="4"/>
      <c r="C305" s="12"/>
      <c r="D305" s="4"/>
      <c r="E305" s="4"/>
      <c r="F305" s="4"/>
      <c r="G305" s="4"/>
      <c r="H305" s="4"/>
      <c r="I305" s="237"/>
      <c r="J305" s="238"/>
      <c r="K305" s="238"/>
      <c r="L305" s="239"/>
      <c r="M305" s="239"/>
      <c r="N305" s="239"/>
      <c r="O305" s="240"/>
      <c r="P305" s="238"/>
      <c r="Q305" s="241"/>
      <c r="R305" s="239"/>
      <c r="S305" s="239"/>
      <c r="T305" s="239"/>
      <c r="U305" s="240"/>
      <c r="V305" s="238"/>
      <c r="W305" s="242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4"/>
      <c r="AN305" s="4"/>
    </row>
    <row r="306" ht="15.75" customHeight="1">
      <c r="A306" s="4"/>
      <c r="B306" s="4"/>
      <c r="C306" s="12"/>
      <c r="D306" s="4"/>
      <c r="E306" s="4"/>
      <c r="F306" s="4"/>
      <c r="G306" s="4"/>
      <c r="H306" s="4"/>
      <c r="I306" s="237"/>
      <c r="J306" s="238"/>
      <c r="K306" s="238"/>
      <c r="L306" s="239"/>
      <c r="M306" s="239"/>
      <c r="N306" s="239"/>
      <c r="O306" s="240"/>
      <c r="P306" s="238"/>
      <c r="Q306" s="241"/>
      <c r="R306" s="239"/>
      <c r="S306" s="239"/>
      <c r="T306" s="239"/>
      <c r="U306" s="240"/>
      <c r="V306" s="238"/>
      <c r="W306" s="242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4"/>
      <c r="AN306" s="4"/>
    </row>
    <row r="307" ht="15.75" customHeight="1">
      <c r="A307" s="4"/>
      <c r="B307" s="4"/>
      <c r="C307" s="12"/>
      <c r="D307" s="4"/>
      <c r="E307" s="4"/>
      <c r="F307" s="4"/>
      <c r="G307" s="4"/>
      <c r="H307" s="4"/>
      <c r="I307" s="237"/>
      <c r="J307" s="238"/>
      <c r="K307" s="238"/>
      <c r="L307" s="239"/>
      <c r="M307" s="239"/>
      <c r="N307" s="239"/>
      <c r="O307" s="240"/>
      <c r="P307" s="238"/>
      <c r="Q307" s="241"/>
      <c r="R307" s="239"/>
      <c r="S307" s="239"/>
      <c r="T307" s="239"/>
      <c r="U307" s="240"/>
      <c r="V307" s="238"/>
      <c r="W307" s="242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4"/>
      <c r="AN307" s="4"/>
    </row>
    <row r="308" ht="15.75" customHeight="1">
      <c r="A308" s="4"/>
      <c r="B308" s="4"/>
      <c r="C308" s="12"/>
      <c r="D308" s="4"/>
      <c r="E308" s="4"/>
      <c r="F308" s="4"/>
      <c r="G308" s="4"/>
      <c r="H308" s="4"/>
      <c r="I308" s="237"/>
      <c r="J308" s="238"/>
      <c r="K308" s="238"/>
      <c r="L308" s="239"/>
      <c r="M308" s="239"/>
      <c r="N308" s="239"/>
      <c r="O308" s="240"/>
      <c r="P308" s="238"/>
      <c r="Q308" s="241"/>
      <c r="R308" s="239"/>
      <c r="S308" s="239"/>
      <c r="T308" s="239"/>
      <c r="U308" s="240"/>
      <c r="V308" s="238"/>
      <c r="W308" s="242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4"/>
      <c r="AN308" s="4"/>
    </row>
    <row r="309" ht="15.75" customHeight="1">
      <c r="A309" s="4"/>
      <c r="B309" s="4"/>
      <c r="C309" s="12"/>
      <c r="D309" s="4"/>
      <c r="E309" s="4"/>
      <c r="F309" s="4"/>
      <c r="G309" s="4"/>
      <c r="H309" s="4"/>
      <c r="I309" s="237"/>
      <c r="J309" s="238"/>
      <c r="K309" s="238"/>
      <c r="L309" s="239"/>
      <c r="M309" s="239"/>
      <c r="N309" s="239"/>
      <c r="O309" s="240"/>
      <c r="P309" s="238"/>
      <c r="Q309" s="241"/>
      <c r="R309" s="239"/>
      <c r="S309" s="239"/>
      <c r="T309" s="239"/>
      <c r="U309" s="240"/>
      <c r="V309" s="238"/>
      <c r="W309" s="242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4"/>
      <c r="AN309" s="4"/>
    </row>
    <row r="310" ht="15.75" customHeight="1">
      <c r="A310" s="4"/>
      <c r="B310" s="4"/>
      <c r="C310" s="12"/>
      <c r="D310" s="4"/>
      <c r="E310" s="4"/>
      <c r="F310" s="4"/>
      <c r="G310" s="4"/>
      <c r="H310" s="4"/>
      <c r="I310" s="237"/>
      <c r="J310" s="238"/>
      <c r="K310" s="238"/>
      <c r="L310" s="239"/>
      <c r="M310" s="239"/>
      <c r="N310" s="239"/>
      <c r="O310" s="240"/>
      <c r="P310" s="238"/>
      <c r="Q310" s="241"/>
      <c r="R310" s="239"/>
      <c r="S310" s="239"/>
      <c r="T310" s="239"/>
      <c r="U310" s="240"/>
      <c r="V310" s="238"/>
      <c r="W310" s="242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4"/>
      <c r="AN310" s="4"/>
    </row>
    <row r="311" ht="15.75" customHeight="1">
      <c r="A311" s="4"/>
      <c r="B311" s="4"/>
      <c r="C311" s="12"/>
      <c r="D311" s="4"/>
      <c r="E311" s="4"/>
      <c r="F311" s="4"/>
      <c r="G311" s="4"/>
      <c r="H311" s="4"/>
      <c r="I311" s="237"/>
      <c r="J311" s="238"/>
      <c r="K311" s="238"/>
      <c r="L311" s="239"/>
      <c r="M311" s="239"/>
      <c r="N311" s="239"/>
      <c r="O311" s="240"/>
      <c r="P311" s="238"/>
      <c r="Q311" s="241"/>
      <c r="R311" s="239"/>
      <c r="S311" s="239"/>
      <c r="T311" s="239"/>
      <c r="U311" s="240"/>
      <c r="V311" s="238"/>
      <c r="W311" s="242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4"/>
      <c r="AN311" s="4"/>
    </row>
    <row r="312" ht="15.75" customHeight="1">
      <c r="A312" s="4"/>
      <c r="B312" s="4"/>
      <c r="C312" s="12"/>
      <c r="D312" s="4"/>
      <c r="E312" s="4"/>
      <c r="F312" s="4"/>
      <c r="G312" s="4"/>
      <c r="H312" s="4"/>
      <c r="I312" s="237"/>
      <c r="J312" s="238"/>
      <c r="K312" s="238"/>
      <c r="L312" s="239"/>
      <c r="M312" s="239"/>
      <c r="N312" s="239"/>
      <c r="O312" s="240"/>
      <c r="P312" s="238"/>
      <c r="Q312" s="241"/>
      <c r="R312" s="239"/>
      <c r="S312" s="239"/>
      <c r="T312" s="239"/>
      <c r="U312" s="240"/>
      <c r="V312" s="238"/>
      <c r="W312" s="242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4"/>
      <c r="AN312" s="4"/>
    </row>
    <row r="313" ht="15.75" customHeight="1">
      <c r="A313" s="4"/>
      <c r="B313" s="4"/>
      <c r="C313" s="12"/>
      <c r="D313" s="4"/>
      <c r="E313" s="4"/>
      <c r="F313" s="4"/>
      <c r="G313" s="4"/>
      <c r="H313" s="4"/>
      <c r="I313" s="237"/>
      <c r="J313" s="238"/>
      <c r="K313" s="238"/>
      <c r="L313" s="239"/>
      <c r="M313" s="239"/>
      <c r="N313" s="239"/>
      <c r="O313" s="240"/>
      <c r="P313" s="238"/>
      <c r="Q313" s="241"/>
      <c r="R313" s="239"/>
      <c r="S313" s="239"/>
      <c r="T313" s="239"/>
      <c r="U313" s="240"/>
      <c r="V313" s="238"/>
      <c r="W313" s="242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4"/>
      <c r="AN313" s="4"/>
    </row>
    <row r="314" ht="15.75" customHeight="1">
      <c r="A314" s="4"/>
      <c r="B314" s="4"/>
      <c r="C314" s="12"/>
      <c r="D314" s="4"/>
      <c r="E314" s="4"/>
      <c r="F314" s="4"/>
      <c r="G314" s="4"/>
      <c r="H314" s="4"/>
      <c r="I314" s="237"/>
      <c r="J314" s="238"/>
      <c r="K314" s="238"/>
      <c r="L314" s="239"/>
      <c r="M314" s="239"/>
      <c r="N314" s="239"/>
      <c r="O314" s="240"/>
      <c r="P314" s="238"/>
      <c r="Q314" s="241"/>
      <c r="R314" s="239"/>
      <c r="S314" s="239"/>
      <c r="T314" s="239"/>
      <c r="U314" s="240"/>
      <c r="V314" s="238"/>
      <c r="W314" s="242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4"/>
      <c r="AN314" s="4"/>
    </row>
    <row r="315" ht="15.75" customHeight="1">
      <c r="A315" s="4"/>
      <c r="B315" s="4"/>
      <c r="C315" s="12"/>
      <c r="D315" s="4"/>
      <c r="E315" s="4"/>
      <c r="F315" s="4"/>
      <c r="G315" s="4"/>
      <c r="H315" s="4"/>
      <c r="I315" s="237"/>
      <c r="J315" s="238"/>
      <c r="K315" s="238"/>
      <c r="L315" s="239"/>
      <c r="M315" s="239"/>
      <c r="N315" s="239"/>
      <c r="O315" s="240"/>
      <c r="P315" s="238"/>
      <c r="Q315" s="241"/>
      <c r="R315" s="239"/>
      <c r="S315" s="239"/>
      <c r="T315" s="239"/>
      <c r="U315" s="240"/>
      <c r="V315" s="238"/>
      <c r="W315" s="242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4"/>
      <c r="AN315" s="4"/>
    </row>
    <row r="316" ht="15.75" customHeight="1">
      <c r="A316" s="4"/>
      <c r="B316" s="4"/>
      <c r="C316" s="12"/>
      <c r="D316" s="4"/>
      <c r="E316" s="4"/>
      <c r="F316" s="4"/>
      <c r="G316" s="4"/>
      <c r="H316" s="4"/>
      <c r="I316" s="237"/>
      <c r="J316" s="238"/>
      <c r="K316" s="238"/>
      <c r="L316" s="239"/>
      <c r="M316" s="239"/>
      <c r="N316" s="239"/>
      <c r="O316" s="240"/>
      <c r="P316" s="238"/>
      <c r="Q316" s="241"/>
      <c r="R316" s="239"/>
      <c r="S316" s="239"/>
      <c r="T316" s="239"/>
      <c r="U316" s="240"/>
      <c r="V316" s="238"/>
      <c r="W316" s="242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4"/>
      <c r="AN316" s="4"/>
    </row>
    <row r="317" ht="15.75" customHeight="1">
      <c r="A317" s="4"/>
      <c r="B317" s="4"/>
      <c r="C317" s="12"/>
      <c r="D317" s="4"/>
      <c r="E317" s="4"/>
      <c r="F317" s="4"/>
      <c r="G317" s="4"/>
      <c r="H317" s="4"/>
      <c r="I317" s="237"/>
      <c r="J317" s="238"/>
      <c r="K317" s="238"/>
      <c r="L317" s="239"/>
      <c r="M317" s="239"/>
      <c r="N317" s="239"/>
      <c r="O317" s="240"/>
      <c r="P317" s="238"/>
      <c r="Q317" s="241"/>
      <c r="R317" s="239"/>
      <c r="S317" s="239"/>
      <c r="T317" s="239"/>
      <c r="U317" s="240"/>
      <c r="V317" s="238"/>
      <c r="W317" s="242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4"/>
      <c r="AN317" s="4"/>
    </row>
    <row r="318" ht="15.75" customHeight="1">
      <c r="A318" s="4"/>
      <c r="B318" s="4"/>
      <c r="C318" s="12"/>
      <c r="D318" s="4"/>
      <c r="E318" s="4"/>
      <c r="F318" s="4"/>
      <c r="G318" s="4"/>
      <c r="H318" s="4"/>
      <c r="I318" s="237"/>
      <c r="J318" s="238"/>
      <c r="K318" s="238"/>
      <c r="L318" s="239"/>
      <c r="M318" s="239"/>
      <c r="N318" s="239"/>
      <c r="O318" s="240"/>
      <c r="P318" s="238"/>
      <c r="Q318" s="241"/>
      <c r="R318" s="239"/>
      <c r="S318" s="239"/>
      <c r="T318" s="239"/>
      <c r="U318" s="240"/>
      <c r="V318" s="238"/>
      <c r="W318" s="242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4"/>
      <c r="AN318" s="4"/>
    </row>
    <row r="319" ht="15.75" customHeight="1">
      <c r="A319" s="4"/>
      <c r="B319" s="4"/>
      <c r="C319" s="12"/>
      <c r="D319" s="4"/>
      <c r="E319" s="4"/>
      <c r="F319" s="4"/>
      <c r="G319" s="4"/>
      <c r="H319" s="4"/>
      <c r="I319" s="237"/>
      <c r="J319" s="238"/>
      <c r="K319" s="238"/>
      <c r="L319" s="239"/>
      <c r="M319" s="239"/>
      <c r="N319" s="239"/>
      <c r="O319" s="240"/>
      <c r="P319" s="238"/>
      <c r="Q319" s="241"/>
      <c r="R319" s="239"/>
      <c r="S319" s="239"/>
      <c r="T319" s="239"/>
      <c r="U319" s="240"/>
      <c r="V319" s="238"/>
      <c r="W319" s="242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4"/>
      <c r="AN319" s="4"/>
    </row>
    <row r="320" ht="15.75" customHeight="1">
      <c r="A320" s="4"/>
      <c r="B320" s="4"/>
      <c r="C320" s="12"/>
      <c r="D320" s="4"/>
      <c r="E320" s="4"/>
      <c r="F320" s="4"/>
      <c r="G320" s="4"/>
      <c r="H320" s="4"/>
      <c r="I320" s="237"/>
      <c r="J320" s="238"/>
      <c r="K320" s="238"/>
      <c r="L320" s="239"/>
      <c r="M320" s="239"/>
      <c r="N320" s="239"/>
      <c r="O320" s="240"/>
      <c r="P320" s="238"/>
      <c r="Q320" s="241"/>
      <c r="R320" s="239"/>
      <c r="S320" s="239"/>
      <c r="T320" s="239"/>
      <c r="U320" s="240"/>
      <c r="V320" s="238"/>
      <c r="W320" s="242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4"/>
      <c r="AN320" s="4"/>
    </row>
    <row r="321" ht="15.75" customHeight="1">
      <c r="A321" s="4"/>
      <c r="B321" s="4"/>
      <c r="C321" s="12"/>
      <c r="D321" s="4"/>
      <c r="E321" s="4"/>
      <c r="F321" s="4"/>
      <c r="G321" s="4"/>
      <c r="H321" s="4"/>
      <c r="I321" s="237"/>
      <c r="J321" s="238"/>
      <c r="K321" s="238"/>
      <c r="L321" s="239"/>
      <c r="M321" s="239"/>
      <c r="N321" s="239"/>
      <c r="O321" s="240"/>
      <c r="P321" s="238"/>
      <c r="Q321" s="241"/>
      <c r="R321" s="239"/>
      <c r="S321" s="239"/>
      <c r="T321" s="239"/>
      <c r="U321" s="240"/>
      <c r="V321" s="238"/>
      <c r="W321" s="242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4"/>
      <c r="AN321" s="4"/>
    </row>
    <row r="322" ht="15.75" customHeight="1">
      <c r="A322" s="4"/>
      <c r="B322" s="4"/>
      <c r="C322" s="12"/>
      <c r="D322" s="4"/>
      <c r="E322" s="4"/>
      <c r="F322" s="4"/>
      <c r="G322" s="4"/>
      <c r="H322" s="4"/>
      <c r="I322" s="237"/>
      <c r="J322" s="238"/>
      <c r="K322" s="238"/>
      <c r="L322" s="239"/>
      <c r="M322" s="239"/>
      <c r="N322" s="239"/>
      <c r="O322" s="240"/>
      <c r="P322" s="238"/>
      <c r="Q322" s="241"/>
      <c r="R322" s="239"/>
      <c r="S322" s="239"/>
      <c r="T322" s="239"/>
      <c r="U322" s="240"/>
      <c r="V322" s="238"/>
      <c r="W322" s="242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4"/>
      <c r="AN322" s="4"/>
    </row>
    <row r="323" ht="15.75" customHeight="1">
      <c r="A323" s="4"/>
      <c r="B323" s="4"/>
      <c r="C323" s="12"/>
      <c r="D323" s="4"/>
      <c r="E323" s="4"/>
      <c r="F323" s="4"/>
      <c r="G323" s="4"/>
      <c r="H323" s="4"/>
      <c r="I323" s="237"/>
      <c r="J323" s="238"/>
      <c r="K323" s="238"/>
      <c r="L323" s="239"/>
      <c r="M323" s="239"/>
      <c r="N323" s="239"/>
      <c r="O323" s="240"/>
      <c r="P323" s="238"/>
      <c r="Q323" s="241"/>
      <c r="R323" s="239"/>
      <c r="S323" s="239"/>
      <c r="T323" s="239"/>
      <c r="U323" s="240"/>
      <c r="V323" s="238"/>
      <c r="W323" s="242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4"/>
      <c r="AN323" s="4"/>
    </row>
    <row r="324" ht="15.75" customHeight="1">
      <c r="A324" s="4"/>
      <c r="B324" s="4"/>
      <c r="C324" s="12"/>
      <c r="D324" s="4"/>
      <c r="E324" s="4"/>
      <c r="F324" s="4"/>
      <c r="G324" s="4"/>
      <c r="H324" s="4"/>
      <c r="I324" s="237"/>
      <c r="J324" s="238"/>
      <c r="K324" s="238"/>
      <c r="L324" s="239"/>
      <c r="M324" s="239"/>
      <c r="N324" s="239"/>
      <c r="O324" s="240"/>
      <c r="P324" s="238"/>
      <c r="Q324" s="241"/>
      <c r="R324" s="239"/>
      <c r="S324" s="239"/>
      <c r="T324" s="239"/>
      <c r="U324" s="240"/>
      <c r="V324" s="238"/>
      <c r="W324" s="242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4"/>
      <c r="AN324" s="4"/>
    </row>
    <row r="325" ht="15.75" customHeight="1">
      <c r="A325" s="4"/>
      <c r="B325" s="4"/>
      <c r="C325" s="12"/>
      <c r="D325" s="4"/>
      <c r="E325" s="4"/>
      <c r="F325" s="4"/>
      <c r="G325" s="4"/>
      <c r="H325" s="4"/>
      <c r="I325" s="237"/>
      <c r="J325" s="238"/>
      <c r="K325" s="238"/>
      <c r="L325" s="239"/>
      <c r="M325" s="239"/>
      <c r="N325" s="239"/>
      <c r="O325" s="240"/>
      <c r="P325" s="238"/>
      <c r="Q325" s="241"/>
      <c r="R325" s="239"/>
      <c r="S325" s="239"/>
      <c r="T325" s="239"/>
      <c r="U325" s="240"/>
      <c r="V325" s="238"/>
      <c r="W325" s="242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4"/>
      <c r="AN325" s="4"/>
    </row>
    <row r="326" ht="15.75" customHeight="1">
      <c r="A326" s="4"/>
      <c r="B326" s="4"/>
      <c r="C326" s="12"/>
      <c r="D326" s="4"/>
      <c r="E326" s="4"/>
      <c r="F326" s="4"/>
      <c r="G326" s="4"/>
      <c r="H326" s="4"/>
      <c r="I326" s="237"/>
      <c r="J326" s="238"/>
      <c r="K326" s="238"/>
      <c r="L326" s="239"/>
      <c r="M326" s="239"/>
      <c r="N326" s="239"/>
      <c r="O326" s="240"/>
      <c r="P326" s="238"/>
      <c r="Q326" s="241"/>
      <c r="R326" s="239"/>
      <c r="S326" s="239"/>
      <c r="T326" s="239"/>
      <c r="U326" s="240"/>
      <c r="V326" s="238"/>
      <c r="W326" s="242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4"/>
      <c r="AN326" s="4"/>
    </row>
    <row r="327" ht="15.75" customHeight="1">
      <c r="A327" s="4"/>
      <c r="B327" s="4"/>
      <c r="C327" s="12"/>
      <c r="D327" s="4"/>
      <c r="E327" s="4"/>
      <c r="F327" s="4"/>
      <c r="G327" s="4"/>
      <c r="H327" s="4"/>
      <c r="I327" s="237"/>
      <c r="J327" s="238"/>
      <c r="K327" s="238"/>
      <c r="L327" s="239"/>
      <c r="M327" s="239"/>
      <c r="N327" s="239"/>
      <c r="O327" s="240"/>
      <c r="P327" s="238"/>
      <c r="Q327" s="241"/>
      <c r="R327" s="239"/>
      <c r="S327" s="239"/>
      <c r="T327" s="239"/>
      <c r="U327" s="240"/>
      <c r="V327" s="238"/>
      <c r="W327" s="242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4"/>
      <c r="AN327" s="4"/>
    </row>
    <row r="328" ht="15.75" customHeight="1">
      <c r="A328" s="4"/>
      <c r="B328" s="4"/>
      <c r="C328" s="12"/>
      <c r="D328" s="4"/>
      <c r="E328" s="4"/>
      <c r="F328" s="4"/>
      <c r="G328" s="4"/>
      <c r="H328" s="4"/>
      <c r="I328" s="237"/>
      <c r="J328" s="238"/>
      <c r="K328" s="238"/>
      <c r="L328" s="239"/>
      <c r="M328" s="239"/>
      <c r="N328" s="239"/>
      <c r="O328" s="240"/>
      <c r="P328" s="238"/>
      <c r="Q328" s="241"/>
      <c r="R328" s="239"/>
      <c r="S328" s="239"/>
      <c r="T328" s="239"/>
      <c r="U328" s="240"/>
      <c r="V328" s="238"/>
      <c r="W328" s="242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4"/>
      <c r="AN328" s="4"/>
    </row>
    <row r="329" ht="15.75" customHeight="1">
      <c r="A329" s="4"/>
      <c r="B329" s="4"/>
      <c r="C329" s="12"/>
      <c r="D329" s="4"/>
      <c r="E329" s="4"/>
      <c r="F329" s="4"/>
      <c r="G329" s="4"/>
      <c r="H329" s="4"/>
      <c r="I329" s="237"/>
      <c r="J329" s="238"/>
      <c r="K329" s="238"/>
      <c r="L329" s="239"/>
      <c r="M329" s="239"/>
      <c r="N329" s="239"/>
      <c r="O329" s="240"/>
      <c r="P329" s="238"/>
      <c r="Q329" s="241"/>
      <c r="R329" s="239"/>
      <c r="S329" s="239"/>
      <c r="T329" s="239"/>
      <c r="U329" s="240"/>
      <c r="V329" s="238"/>
      <c r="W329" s="242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4"/>
      <c r="AN329" s="4"/>
    </row>
    <row r="330" ht="15.75" customHeight="1">
      <c r="A330" s="4"/>
      <c r="B330" s="4"/>
      <c r="C330" s="12"/>
      <c r="D330" s="4"/>
      <c r="E330" s="4"/>
      <c r="F330" s="4"/>
      <c r="G330" s="4"/>
      <c r="H330" s="4"/>
      <c r="I330" s="237"/>
      <c r="J330" s="238"/>
      <c r="K330" s="238"/>
      <c r="L330" s="239"/>
      <c r="M330" s="239"/>
      <c r="N330" s="239"/>
      <c r="O330" s="240"/>
      <c r="P330" s="238"/>
      <c r="Q330" s="241"/>
      <c r="R330" s="239"/>
      <c r="S330" s="239"/>
      <c r="T330" s="239"/>
      <c r="U330" s="240"/>
      <c r="V330" s="238"/>
      <c r="W330" s="242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4"/>
      <c r="AN330" s="4"/>
    </row>
    <row r="331" ht="15.75" customHeight="1">
      <c r="A331" s="4"/>
      <c r="B331" s="4"/>
      <c r="C331" s="12"/>
      <c r="D331" s="4"/>
      <c r="E331" s="4"/>
      <c r="F331" s="4"/>
      <c r="G331" s="4"/>
      <c r="H331" s="4"/>
      <c r="I331" s="237"/>
      <c r="J331" s="238"/>
      <c r="K331" s="238"/>
      <c r="L331" s="239"/>
      <c r="M331" s="239"/>
      <c r="N331" s="239"/>
      <c r="O331" s="240"/>
      <c r="P331" s="238"/>
      <c r="Q331" s="241"/>
      <c r="R331" s="239"/>
      <c r="S331" s="239"/>
      <c r="T331" s="239"/>
      <c r="U331" s="240"/>
      <c r="V331" s="238"/>
      <c r="W331" s="242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4"/>
      <c r="AN331" s="4"/>
    </row>
    <row r="332" ht="15.75" customHeight="1">
      <c r="A332" s="4"/>
      <c r="B332" s="4"/>
      <c r="C332" s="12"/>
      <c r="D332" s="4"/>
      <c r="E332" s="4"/>
      <c r="F332" s="4"/>
      <c r="G332" s="4"/>
      <c r="H332" s="4"/>
      <c r="I332" s="237"/>
      <c r="J332" s="238"/>
      <c r="K332" s="238"/>
      <c r="L332" s="239"/>
      <c r="M332" s="239"/>
      <c r="N332" s="239"/>
      <c r="O332" s="240"/>
      <c r="P332" s="238"/>
      <c r="Q332" s="241"/>
      <c r="R332" s="239"/>
      <c r="S332" s="239"/>
      <c r="T332" s="239"/>
      <c r="U332" s="240"/>
      <c r="V332" s="238"/>
      <c r="W332" s="242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4"/>
      <c r="AN332" s="4"/>
    </row>
    <row r="333" ht="15.75" customHeight="1">
      <c r="A333" s="4"/>
      <c r="B333" s="4"/>
      <c r="C333" s="12"/>
      <c r="D333" s="4"/>
      <c r="E333" s="4"/>
      <c r="F333" s="4"/>
      <c r="G333" s="4"/>
      <c r="H333" s="4"/>
      <c r="I333" s="237"/>
      <c r="J333" s="238"/>
      <c r="K333" s="238"/>
      <c r="L333" s="239"/>
      <c r="M333" s="239"/>
      <c r="N333" s="239"/>
      <c r="O333" s="240"/>
      <c r="P333" s="238"/>
      <c r="Q333" s="241"/>
      <c r="R333" s="239"/>
      <c r="S333" s="239"/>
      <c r="T333" s="239"/>
      <c r="U333" s="240"/>
      <c r="V333" s="238"/>
      <c r="W333" s="242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4"/>
      <c r="AN333" s="4"/>
    </row>
    <row r="334" ht="15.75" customHeight="1">
      <c r="A334" s="4"/>
      <c r="B334" s="4"/>
      <c r="C334" s="12"/>
      <c r="D334" s="4"/>
      <c r="E334" s="4"/>
      <c r="F334" s="4"/>
      <c r="G334" s="4"/>
      <c r="H334" s="4"/>
      <c r="I334" s="237"/>
      <c r="J334" s="238"/>
      <c r="K334" s="238"/>
      <c r="L334" s="239"/>
      <c r="M334" s="239"/>
      <c r="N334" s="239"/>
      <c r="O334" s="240"/>
      <c r="P334" s="238"/>
      <c r="Q334" s="241"/>
      <c r="R334" s="239"/>
      <c r="S334" s="239"/>
      <c r="T334" s="239"/>
      <c r="U334" s="240"/>
      <c r="V334" s="238"/>
      <c r="W334" s="242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4"/>
      <c r="AN334" s="4"/>
    </row>
    <row r="335" ht="15.75" customHeight="1">
      <c r="A335" s="4"/>
      <c r="B335" s="4"/>
      <c r="C335" s="12"/>
      <c r="D335" s="4"/>
      <c r="E335" s="4"/>
      <c r="F335" s="4"/>
      <c r="G335" s="4"/>
      <c r="H335" s="4"/>
      <c r="I335" s="237"/>
      <c r="J335" s="238"/>
      <c r="K335" s="238"/>
      <c r="L335" s="239"/>
      <c r="M335" s="239"/>
      <c r="N335" s="239"/>
      <c r="O335" s="240"/>
      <c r="P335" s="238"/>
      <c r="Q335" s="241"/>
      <c r="R335" s="239"/>
      <c r="S335" s="239"/>
      <c r="T335" s="239"/>
      <c r="U335" s="240"/>
      <c r="V335" s="238"/>
      <c r="W335" s="242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4"/>
      <c r="AN335" s="4"/>
    </row>
    <row r="336" ht="15.75" customHeight="1">
      <c r="A336" s="4"/>
      <c r="B336" s="4"/>
      <c r="C336" s="12"/>
      <c r="D336" s="4"/>
      <c r="E336" s="4"/>
      <c r="F336" s="4"/>
      <c r="G336" s="4"/>
      <c r="H336" s="4"/>
      <c r="I336" s="237"/>
      <c r="J336" s="238"/>
      <c r="K336" s="238"/>
      <c r="L336" s="239"/>
      <c r="M336" s="239"/>
      <c r="N336" s="239"/>
      <c r="O336" s="240"/>
      <c r="P336" s="238"/>
      <c r="Q336" s="241"/>
      <c r="R336" s="239"/>
      <c r="S336" s="239"/>
      <c r="T336" s="239"/>
      <c r="U336" s="240"/>
      <c r="V336" s="238"/>
      <c r="W336" s="242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4"/>
      <c r="AN336" s="4"/>
    </row>
    <row r="337" ht="15.75" customHeight="1">
      <c r="A337" s="4"/>
      <c r="B337" s="4"/>
      <c r="C337" s="12"/>
      <c r="D337" s="4"/>
      <c r="E337" s="4"/>
      <c r="F337" s="4"/>
      <c r="G337" s="4"/>
      <c r="H337" s="4"/>
      <c r="I337" s="237"/>
      <c r="J337" s="238"/>
      <c r="K337" s="238"/>
      <c r="L337" s="239"/>
      <c r="M337" s="239"/>
      <c r="N337" s="239"/>
      <c r="O337" s="240"/>
      <c r="P337" s="238"/>
      <c r="Q337" s="241"/>
      <c r="R337" s="239"/>
      <c r="S337" s="239"/>
      <c r="T337" s="239"/>
      <c r="U337" s="240"/>
      <c r="V337" s="238"/>
      <c r="W337" s="242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4"/>
      <c r="AN337" s="4"/>
    </row>
    <row r="338" ht="15.75" customHeight="1">
      <c r="A338" s="4"/>
      <c r="B338" s="4"/>
      <c r="C338" s="12"/>
      <c r="D338" s="4"/>
      <c r="E338" s="4"/>
      <c r="F338" s="4"/>
      <c r="G338" s="4"/>
      <c r="H338" s="4"/>
      <c r="I338" s="237"/>
      <c r="J338" s="238"/>
      <c r="K338" s="238"/>
      <c r="L338" s="239"/>
      <c r="M338" s="239"/>
      <c r="N338" s="239"/>
      <c r="O338" s="240"/>
      <c r="P338" s="238"/>
      <c r="Q338" s="241"/>
      <c r="R338" s="239"/>
      <c r="S338" s="239"/>
      <c r="T338" s="239"/>
      <c r="U338" s="240"/>
      <c r="V338" s="238"/>
      <c r="W338" s="242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4"/>
      <c r="AN338" s="4"/>
    </row>
    <row r="339" ht="15.75" customHeight="1">
      <c r="A339" s="4"/>
      <c r="B339" s="4"/>
      <c r="C339" s="12"/>
      <c r="D339" s="4"/>
      <c r="E339" s="4"/>
      <c r="F339" s="4"/>
      <c r="G339" s="4"/>
      <c r="H339" s="4"/>
      <c r="I339" s="237"/>
      <c r="J339" s="238"/>
      <c r="K339" s="238"/>
      <c r="L339" s="239"/>
      <c r="M339" s="239"/>
      <c r="N339" s="239"/>
      <c r="O339" s="240"/>
      <c r="P339" s="238"/>
      <c r="Q339" s="241"/>
      <c r="R339" s="239"/>
      <c r="S339" s="239"/>
      <c r="T339" s="239"/>
      <c r="U339" s="240"/>
      <c r="V339" s="238"/>
      <c r="W339" s="242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4"/>
      <c r="AN339" s="4"/>
    </row>
    <row r="340" ht="15.75" customHeight="1">
      <c r="A340" s="4"/>
      <c r="B340" s="4"/>
      <c r="C340" s="12"/>
      <c r="D340" s="4"/>
      <c r="E340" s="4"/>
      <c r="F340" s="4"/>
      <c r="G340" s="4"/>
      <c r="H340" s="4"/>
      <c r="I340" s="237"/>
      <c r="J340" s="238"/>
      <c r="K340" s="238"/>
      <c r="L340" s="239"/>
      <c r="M340" s="239"/>
      <c r="N340" s="239"/>
      <c r="O340" s="240"/>
      <c r="P340" s="238"/>
      <c r="Q340" s="241"/>
      <c r="R340" s="239"/>
      <c r="S340" s="239"/>
      <c r="T340" s="239"/>
      <c r="U340" s="240"/>
      <c r="V340" s="238"/>
      <c r="W340" s="242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4"/>
      <c r="AN340" s="4"/>
    </row>
    <row r="341" ht="15.75" customHeight="1">
      <c r="A341" s="4"/>
      <c r="B341" s="4"/>
      <c r="C341" s="12"/>
      <c r="D341" s="4"/>
      <c r="E341" s="4"/>
      <c r="F341" s="4"/>
      <c r="G341" s="4"/>
      <c r="H341" s="4"/>
      <c r="I341" s="237"/>
      <c r="J341" s="238"/>
      <c r="K341" s="238"/>
      <c r="L341" s="239"/>
      <c r="M341" s="239"/>
      <c r="N341" s="239"/>
      <c r="O341" s="240"/>
      <c r="P341" s="238"/>
      <c r="Q341" s="241"/>
      <c r="R341" s="239"/>
      <c r="S341" s="239"/>
      <c r="T341" s="239"/>
      <c r="U341" s="240"/>
      <c r="V341" s="238"/>
      <c r="W341" s="242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4"/>
      <c r="AN341" s="4"/>
    </row>
    <row r="342" ht="15.75" customHeight="1">
      <c r="A342" s="4"/>
      <c r="B342" s="4"/>
      <c r="C342" s="12"/>
      <c r="D342" s="4"/>
      <c r="E342" s="4"/>
      <c r="F342" s="4"/>
      <c r="G342" s="4"/>
      <c r="H342" s="4"/>
      <c r="I342" s="237"/>
      <c r="J342" s="238"/>
      <c r="K342" s="238"/>
      <c r="L342" s="239"/>
      <c r="M342" s="239"/>
      <c r="N342" s="239"/>
      <c r="O342" s="240"/>
      <c r="P342" s="238"/>
      <c r="Q342" s="241"/>
      <c r="R342" s="239"/>
      <c r="S342" s="239"/>
      <c r="T342" s="239"/>
      <c r="U342" s="240"/>
      <c r="V342" s="238"/>
      <c r="W342" s="242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4"/>
      <c r="AN342" s="4"/>
    </row>
    <row r="343" ht="15.75" customHeight="1">
      <c r="A343" s="4"/>
      <c r="B343" s="4"/>
      <c r="C343" s="12"/>
      <c r="D343" s="4"/>
      <c r="E343" s="4"/>
      <c r="F343" s="4"/>
      <c r="G343" s="4"/>
      <c r="H343" s="4"/>
      <c r="I343" s="237"/>
      <c r="J343" s="238"/>
      <c r="K343" s="238"/>
      <c r="L343" s="239"/>
      <c r="M343" s="239"/>
      <c r="N343" s="239"/>
      <c r="O343" s="240"/>
      <c r="P343" s="238"/>
      <c r="Q343" s="241"/>
      <c r="R343" s="239"/>
      <c r="S343" s="239"/>
      <c r="T343" s="239"/>
      <c r="U343" s="240"/>
      <c r="V343" s="238"/>
      <c r="W343" s="242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4"/>
      <c r="AN343" s="4"/>
    </row>
    <row r="344" ht="15.75" customHeight="1">
      <c r="A344" s="4"/>
      <c r="B344" s="4"/>
      <c r="C344" s="12"/>
      <c r="D344" s="4"/>
      <c r="E344" s="4"/>
      <c r="F344" s="4"/>
      <c r="G344" s="4"/>
      <c r="H344" s="4"/>
      <c r="I344" s="237"/>
      <c r="J344" s="238"/>
      <c r="K344" s="238"/>
      <c r="L344" s="239"/>
      <c r="M344" s="239"/>
      <c r="N344" s="239"/>
      <c r="O344" s="240"/>
      <c r="P344" s="238"/>
      <c r="Q344" s="241"/>
      <c r="R344" s="239"/>
      <c r="S344" s="239"/>
      <c r="T344" s="239"/>
      <c r="U344" s="240"/>
      <c r="V344" s="238"/>
      <c r="W344" s="242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4"/>
      <c r="AN344" s="4"/>
    </row>
    <row r="345" ht="15.75" customHeight="1">
      <c r="A345" s="4"/>
      <c r="B345" s="4"/>
      <c r="C345" s="12"/>
      <c r="D345" s="4"/>
      <c r="E345" s="4"/>
      <c r="F345" s="4"/>
      <c r="G345" s="4"/>
      <c r="H345" s="4"/>
      <c r="I345" s="237"/>
      <c r="J345" s="238"/>
      <c r="K345" s="238"/>
      <c r="L345" s="239"/>
      <c r="M345" s="239"/>
      <c r="N345" s="239"/>
      <c r="O345" s="240"/>
      <c r="P345" s="238"/>
      <c r="Q345" s="241"/>
      <c r="R345" s="239"/>
      <c r="S345" s="239"/>
      <c r="T345" s="239"/>
      <c r="U345" s="240"/>
      <c r="V345" s="238"/>
      <c r="W345" s="242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4"/>
      <c r="AN345" s="4"/>
    </row>
    <row r="346" ht="15.75" customHeight="1">
      <c r="A346" s="4"/>
      <c r="B346" s="4"/>
      <c r="C346" s="12"/>
      <c r="D346" s="4"/>
      <c r="E346" s="4"/>
      <c r="F346" s="4"/>
      <c r="G346" s="4"/>
      <c r="H346" s="4"/>
      <c r="I346" s="237"/>
      <c r="J346" s="238"/>
      <c r="K346" s="238"/>
      <c r="L346" s="239"/>
      <c r="M346" s="239"/>
      <c r="N346" s="239"/>
      <c r="O346" s="240"/>
      <c r="P346" s="238"/>
      <c r="Q346" s="241"/>
      <c r="R346" s="239"/>
      <c r="S346" s="239"/>
      <c r="T346" s="239"/>
      <c r="U346" s="240"/>
      <c r="V346" s="238"/>
      <c r="W346" s="242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4"/>
      <c r="AN346" s="4"/>
    </row>
    <row r="347" ht="15.75" customHeight="1">
      <c r="A347" s="4"/>
      <c r="B347" s="4"/>
      <c r="C347" s="12"/>
      <c r="D347" s="4"/>
      <c r="E347" s="4"/>
      <c r="F347" s="4"/>
      <c r="G347" s="4"/>
      <c r="H347" s="4"/>
      <c r="I347" s="237"/>
      <c r="J347" s="238"/>
      <c r="K347" s="238"/>
      <c r="L347" s="239"/>
      <c r="M347" s="239"/>
      <c r="N347" s="239"/>
      <c r="O347" s="240"/>
      <c r="P347" s="238"/>
      <c r="Q347" s="241"/>
      <c r="R347" s="239"/>
      <c r="S347" s="239"/>
      <c r="T347" s="239"/>
      <c r="U347" s="240"/>
      <c r="V347" s="238"/>
      <c r="W347" s="242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4"/>
      <c r="AN347" s="4"/>
    </row>
    <row r="348" ht="15.75" customHeight="1">
      <c r="A348" s="4"/>
      <c r="B348" s="4"/>
      <c r="C348" s="12"/>
      <c r="D348" s="4"/>
      <c r="E348" s="4"/>
      <c r="F348" s="4"/>
      <c r="G348" s="4"/>
      <c r="H348" s="4"/>
      <c r="I348" s="237"/>
      <c r="J348" s="238"/>
      <c r="K348" s="238"/>
      <c r="L348" s="239"/>
      <c r="M348" s="239"/>
      <c r="N348" s="239"/>
      <c r="O348" s="240"/>
      <c r="P348" s="238"/>
      <c r="Q348" s="241"/>
      <c r="R348" s="239"/>
      <c r="S348" s="239"/>
      <c r="T348" s="239"/>
      <c r="U348" s="240"/>
      <c r="V348" s="238"/>
      <c r="W348" s="242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4"/>
      <c r="AN348" s="4"/>
    </row>
    <row r="349" ht="15.75" customHeight="1">
      <c r="A349" s="4"/>
      <c r="B349" s="4"/>
      <c r="C349" s="12"/>
      <c r="D349" s="4"/>
      <c r="E349" s="4"/>
      <c r="F349" s="4"/>
      <c r="G349" s="4"/>
      <c r="H349" s="4"/>
      <c r="I349" s="237"/>
      <c r="J349" s="238"/>
      <c r="K349" s="238"/>
      <c r="L349" s="239"/>
      <c r="M349" s="239"/>
      <c r="N349" s="239"/>
      <c r="O349" s="240"/>
      <c r="P349" s="238"/>
      <c r="Q349" s="241"/>
      <c r="R349" s="239"/>
      <c r="S349" s="239"/>
      <c r="T349" s="239"/>
      <c r="U349" s="240"/>
      <c r="V349" s="238"/>
      <c r="W349" s="242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4"/>
      <c r="AN349" s="4"/>
    </row>
    <row r="350" ht="15.75" customHeight="1">
      <c r="A350" s="4"/>
      <c r="B350" s="4"/>
      <c r="C350" s="12"/>
      <c r="D350" s="4"/>
      <c r="E350" s="4"/>
      <c r="F350" s="4"/>
      <c r="G350" s="4"/>
      <c r="H350" s="4"/>
      <c r="I350" s="237"/>
      <c r="J350" s="238"/>
      <c r="K350" s="238"/>
      <c r="L350" s="239"/>
      <c r="M350" s="239"/>
      <c r="N350" s="239"/>
      <c r="O350" s="240"/>
      <c r="P350" s="238"/>
      <c r="Q350" s="241"/>
      <c r="R350" s="239"/>
      <c r="S350" s="239"/>
      <c r="T350" s="239"/>
      <c r="U350" s="240"/>
      <c r="V350" s="238"/>
      <c r="W350" s="242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4"/>
      <c r="AN350" s="4"/>
    </row>
    <row r="351" ht="15.75" customHeight="1">
      <c r="A351" s="4"/>
      <c r="B351" s="4"/>
      <c r="C351" s="12"/>
      <c r="D351" s="4"/>
      <c r="E351" s="4"/>
      <c r="F351" s="4"/>
      <c r="G351" s="4"/>
      <c r="H351" s="4"/>
      <c r="I351" s="237"/>
      <c r="J351" s="238"/>
      <c r="K351" s="238"/>
      <c r="L351" s="239"/>
      <c r="M351" s="239"/>
      <c r="N351" s="239"/>
      <c r="O351" s="240"/>
      <c r="P351" s="238"/>
      <c r="Q351" s="241"/>
      <c r="R351" s="239"/>
      <c r="S351" s="239"/>
      <c r="T351" s="239"/>
      <c r="U351" s="240"/>
      <c r="V351" s="238"/>
      <c r="W351" s="242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4"/>
      <c r="AN351" s="4"/>
    </row>
    <row r="352" ht="15.75" customHeight="1">
      <c r="A352" s="4"/>
      <c r="B352" s="4"/>
      <c r="C352" s="12"/>
      <c r="D352" s="4"/>
      <c r="E352" s="4"/>
      <c r="F352" s="4"/>
      <c r="G352" s="4"/>
      <c r="H352" s="4"/>
      <c r="I352" s="237"/>
      <c r="J352" s="238"/>
      <c r="K352" s="238"/>
      <c r="L352" s="239"/>
      <c r="M352" s="239"/>
      <c r="N352" s="239"/>
      <c r="O352" s="240"/>
      <c r="P352" s="238"/>
      <c r="Q352" s="241"/>
      <c r="R352" s="239"/>
      <c r="S352" s="239"/>
      <c r="T352" s="239"/>
      <c r="U352" s="240"/>
      <c r="V352" s="238"/>
      <c r="W352" s="242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4"/>
      <c r="AN352" s="4"/>
    </row>
    <row r="353" ht="15.75" customHeight="1">
      <c r="A353" s="4"/>
      <c r="B353" s="4"/>
      <c r="C353" s="12"/>
      <c r="D353" s="4"/>
      <c r="E353" s="4"/>
      <c r="F353" s="4"/>
      <c r="G353" s="4"/>
      <c r="H353" s="4"/>
      <c r="I353" s="237"/>
      <c r="J353" s="238"/>
      <c r="K353" s="238"/>
      <c r="L353" s="239"/>
      <c r="M353" s="239"/>
      <c r="N353" s="239"/>
      <c r="O353" s="240"/>
      <c r="P353" s="238"/>
      <c r="Q353" s="241"/>
      <c r="R353" s="239"/>
      <c r="S353" s="239"/>
      <c r="T353" s="239"/>
      <c r="U353" s="240"/>
      <c r="V353" s="238"/>
      <c r="W353" s="242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4"/>
      <c r="AN353" s="4"/>
    </row>
    <row r="354" ht="15.75" customHeight="1">
      <c r="A354" s="4"/>
      <c r="B354" s="4"/>
      <c r="C354" s="12"/>
      <c r="D354" s="4"/>
      <c r="E354" s="4"/>
      <c r="F354" s="4"/>
      <c r="G354" s="4"/>
      <c r="H354" s="4"/>
      <c r="I354" s="237"/>
      <c r="J354" s="238"/>
      <c r="K354" s="238"/>
      <c r="L354" s="239"/>
      <c r="M354" s="239"/>
      <c r="N354" s="239"/>
      <c r="O354" s="240"/>
      <c r="P354" s="238"/>
      <c r="Q354" s="241"/>
      <c r="R354" s="239"/>
      <c r="S354" s="239"/>
      <c r="T354" s="239"/>
      <c r="U354" s="240"/>
      <c r="V354" s="238"/>
      <c r="W354" s="242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4"/>
      <c r="AN354" s="4"/>
    </row>
    <row r="355" ht="15.75" customHeight="1">
      <c r="A355" s="4"/>
      <c r="B355" s="4"/>
      <c r="C355" s="12"/>
      <c r="D355" s="4"/>
      <c r="E355" s="4"/>
      <c r="F355" s="4"/>
      <c r="G355" s="4"/>
      <c r="H355" s="4"/>
      <c r="I355" s="237"/>
      <c r="J355" s="238"/>
      <c r="K355" s="238"/>
      <c r="L355" s="239"/>
      <c r="M355" s="239"/>
      <c r="N355" s="239"/>
      <c r="O355" s="240"/>
      <c r="P355" s="238"/>
      <c r="Q355" s="241"/>
      <c r="R355" s="239"/>
      <c r="S355" s="239"/>
      <c r="T355" s="239"/>
      <c r="U355" s="240"/>
      <c r="V355" s="238"/>
      <c r="W355" s="242"/>
      <c r="X355" s="239"/>
      <c r="Y355" s="239"/>
      <c r="Z355" s="239"/>
      <c r="AA355" s="239"/>
      <c r="AB355" s="239"/>
      <c r="AC355" s="239"/>
      <c r="AD355" s="239"/>
      <c r="AE355" s="239"/>
      <c r="AF355" s="239"/>
      <c r="AG355" s="239"/>
      <c r="AH355" s="239"/>
      <c r="AI355" s="239"/>
      <c r="AJ355" s="239"/>
      <c r="AK355" s="239"/>
      <c r="AL355" s="239"/>
      <c r="AM355" s="4"/>
      <c r="AN355" s="4"/>
    </row>
    <row r="356" ht="15.75" customHeight="1">
      <c r="A356" s="4"/>
      <c r="B356" s="4"/>
      <c r="C356" s="12"/>
      <c r="D356" s="4"/>
      <c r="E356" s="4"/>
      <c r="F356" s="4"/>
      <c r="G356" s="4"/>
      <c r="H356" s="4"/>
      <c r="I356" s="237"/>
      <c r="J356" s="238"/>
      <c r="K356" s="238"/>
      <c r="L356" s="239"/>
      <c r="M356" s="239"/>
      <c r="N356" s="239"/>
      <c r="O356" s="240"/>
      <c r="P356" s="238"/>
      <c r="Q356" s="241"/>
      <c r="R356" s="239"/>
      <c r="S356" s="239"/>
      <c r="T356" s="239"/>
      <c r="U356" s="240"/>
      <c r="V356" s="238"/>
      <c r="W356" s="242"/>
      <c r="X356" s="239"/>
      <c r="Y356" s="239"/>
      <c r="Z356" s="239"/>
      <c r="AA356" s="239"/>
      <c r="AB356" s="239"/>
      <c r="AC356" s="239"/>
      <c r="AD356" s="239"/>
      <c r="AE356" s="239"/>
      <c r="AF356" s="239"/>
      <c r="AG356" s="239"/>
      <c r="AH356" s="239"/>
      <c r="AI356" s="239"/>
      <c r="AJ356" s="239"/>
      <c r="AK356" s="239"/>
      <c r="AL356" s="239"/>
      <c r="AM356" s="4"/>
      <c r="AN356" s="4"/>
    </row>
    <row r="357" ht="15.75" customHeight="1">
      <c r="A357" s="4"/>
      <c r="B357" s="4"/>
      <c r="C357" s="12"/>
      <c r="D357" s="4"/>
      <c r="E357" s="4"/>
      <c r="F357" s="4"/>
      <c r="G357" s="4"/>
      <c r="H357" s="4"/>
      <c r="I357" s="237"/>
      <c r="J357" s="238"/>
      <c r="K357" s="238"/>
      <c r="L357" s="239"/>
      <c r="M357" s="239"/>
      <c r="N357" s="239"/>
      <c r="O357" s="240"/>
      <c r="P357" s="238"/>
      <c r="Q357" s="241"/>
      <c r="R357" s="239"/>
      <c r="S357" s="239"/>
      <c r="T357" s="239"/>
      <c r="U357" s="240"/>
      <c r="V357" s="238"/>
      <c r="W357" s="242"/>
      <c r="X357" s="239"/>
      <c r="Y357" s="239"/>
      <c r="Z357" s="239"/>
      <c r="AA357" s="239"/>
      <c r="AB357" s="239"/>
      <c r="AC357" s="239"/>
      <c r="AD357" s="239"/>
      <c r="AE357" s="239"/>
      <c r="AF357" s="239"/>
      <c r="AG357" s="239"/>
      <c r="AH357" s="239"/>
      <c r="AI357" s="239"/>
      <c r="AJ357" s="239"/>
      <c r="AK357" s="239"/>
      <c r="AL357" s="239"/>
      <c r="AM357" s="4"/>
      <c r="AN357" s="4"/>
    </row>
    <row r="358" ht="15.75" customHeight="1">
      <c r="A358" s="4"/>
      <c r="B358" s="4"/>
      <c r="C358" s="12"/>
      <c r="D358" s="4"/>
      <c r="E358" s="4"/>
      <c r="F358" s="4"/>
      <c r="G358" s="4"/>
      <c r="H358" s="4"/>
      <c r="I358" s="237"/>
      <c r="J358" s="238"/>
      <c r="K358" s="238"/>
      <c r="L358" s="239"/>
      <c r="M358" s="239"/>
      <c r="N358" s="239"/>
      <c r="O358" s="240"/>
      <c r="P358" s="238"/>
      <c r="Q358" s="241"/>
      <c r="R358" s="239"/>
      <c r="S358" s="239"/>
      <c r="T358" s="239"/>
      <c r="U358" s="240"/>
      <c r="V358" s="238"/>
      <c r="W358" s="242"/>
      <c r="X358" s="239"/>
      <c r="Y358" s="239"/>
      <c r="Z358" s="239"/>
      <c r="AA358" s="239"/>
      <c r="AB358" s="239"/>
      <c r="AC358" s="239"/>
      <c r="AD358" s="239"/>
      <c r="AE358" s="239"/>
      <c r="AF358" s="239"/>
      <c r="AG358" s="239"/>
      <c r="AH358" s="239"/>
      <c r="AI358" s="239"/>
      <c r="AJ358" s="239"/>
      <c r="AK358" s="239"/>
      <c r="AL358" s="239"/>
      <c r="AM358" s="4"/>
      <c r="AN358" s="4"/>
    </row>
    <row r="359" ht="15.75" customHeight="1">
      <c r="A359" s="4"/>
      <c r="B359" s="4"/>
      <c r="C359" s="12"/>
      <c r="D359" s="4"/>
      <c r="E359" s="4"/>
      <c r="F359" s="4"/>
      <c r="G359" s="4"/>
      <c r="H359" s="4"/>
      <c r="I359" s="237"/>
      <c r="J359" s="238"/>
      <c r="K359" s="238"/>
      <c r="L359" s="239"/>
      <c r="M359" s="239"/>
      <c r="N359" s="239"/>
      <c r="O359" s="240"/>
      <c r="P359" s="238"/>
      <c r="Q359" s="241"/>
      <c r="R359" s="239"/>
      <c r="S359" s="239"/>
      <c r="T359" s="239"/>
      <c r="U359" s="240"/>
      <c r="V359" s="238"/>
      <c r="W359" s="242"/>
      <c r="X359" s="239"/>
      <c r="Y359" s="239"/>
      <c r="Z359" s="239"/>
      <c r="AA359" s="239"/>
      <c r="AB359" s="239"/>
      <c r="AC359" s="239"/>
      <c r="AD359" s="239"/>
      <c r="AE359" s="239"/>
      <c r="AF359" s="239"/>
      <c r="AG359" s="239"/>
      <c r="AH359" s="239"/>
      <c r="AI359" s="239"/>
      <c r="AJ359" s="239"/>
      <c r="AK359" s="239"/>
      <c r="AL359" s="239"/>
      <c r="AM359" s="4"/>
      <c r="AN359" s="4"/>
    </row>
    <row r="360" ht="15.75" customHeight="1">
      <c r="A360" s="4"/>
      <c r="B360" s="4"/>
      <c r="C360" s="12"/>
      <c r="D360" s="4"/>
      <c r="E360" s="4"/>
      <c r="F360" s="4"/>
      <c r="G360" s="4"/>
      <c r="H360" s="4"/>
      <c r="I360" s="237"/>
      <c r="J360" s="238"/>
      <c r="K360" s="238"/>
      <c r="L360" s="239"/>
      <c r="M360" s="239"/>
      <c r="N360" s="239"/>
      <c r="O360" s="240"/>
      <c r="P360" s="238"/>
      <c r="Q360" s="241"/>
      <c r="R360" s="239"/>
      <c r="S360" s="239"/>
      <c r="T360" s="239"/>
      <c r="U360" s="240"/>
      <c r="V360" s="238"/>
      <c r="W360" s="242"/>
      <c r="X360" s="239"/>
      <c r="Y360" s="239"/>
      <c r="Z360" s="239"/>
      <c r="AA360" s="239"/>
      <c r="AB360" s="239"/>
      <c r="AC360" s="239"/>
      <c r="AD360" s="239"/>
      <c r="AE360" s="239"/>
      <c r="AF360" s="239"/>
      <c r="AG360" s="239"/>
      <c r="AH360" s="239"/>
      <c r="AI360" s="239"/>
      <c r="AJ360" s="239"/>
      <c r="AK360" s="239"/>
      <c r="AL360" s="239"/>
      <c r="AM360" s="4"/>
      <c r="AN360" s="4"/>
    </row>
    <row r="361" ht="15.75" customHeight="1">
      <c r="A361" s="4"/>
      <c r="B361" s="4"/>
      <c r="C361" s="12"/>
      <c r="D361" s="4"/>
      <c r="E361" s="4"/>
      <c r="F361" s="4"/>
      <c r="G361" s="4"/>
      <c r="H361" s="4"/>
      <c r="I361" s="237"/>
      <c r="J361" s="238"/>
      <c r="K361" s="238"/>
      <c r="L361" s="239"/>
      <c r="M361" s="239"/>
      <c r="N361" s="239"/>
      <c r="O361" s="240"/>
      <c r="P361" s="238"/>
      <c r="Q361" s="241"/>
      <c r="R361" s="239"/>
      <c r="S361" s="239"/>
      <c r="T361" s="239"/>
      <c r="U361" s="240"/>
      <c r="V361" s="238"/>
      <c r="W361" s="242"/>
      <c r="X361" s="239"/>
      <c r="Y361" s="239"/>
      <c r="Z361" s="239"/>
      <c r="AA361" s="239"/>
      <c r="AB361" s="239"/>
      <c r="AC361" s="239"/>
      <c r="AD361" s="239"/>
      <c r="AE361" s="239"/>
      <c r="AF361" s="239"/>
      <c r="AG361" s="239"/>
      <c r="AH361" s="239"/>
      <c r="AI361" s="239"/>
      <c r="AJ361" s="239"/>
      <c r="AK361" s="239"/>
      <c r="AL361" s="239"/>
      <c r="AM361" s="4"/>
      <c r="AN361" s="4"/>
    </row>
    <row r="362" ht="15.75" customHeight="1">
      <c r="A362" s="4"/>
      <c r="B362" s="4"/>
      <c r="C362" s="12"/>
      <c r="D362" s="4"/>
      <c r="E362" s="4"/>
      <c r="F362" s="4"/>
      <c r="G362" s="4"/>
      <c r="H362" s="4"/>
      <c r="I362" s="237"/>
      <c r="J362" s="238"/>
      <c r="K362" s="238"/>
      <c r="L362" s="239"/>
      <c r="M362" s="239"/>
      <c r="N362" s="239"/>
      <c r="O362" s="240"/>
      <c r="P362" s="238"/>
      <c r="Q362" s="241"/>
      <c r="R362" s="239"/>
      <c r="S362" s="239"/>
      <c r="T362" s="239"/>
      <c r="U362" s="240"/>
      <c r="V362" s="238"/>
      <c r="W362" s="242"/>
      <c r="X362" s="239"/>
      <c r="Y362" s="239"/>
      <c r="Z362" s="239"/>
      <c r="AA362" s="239"/>
      <c r="AB362" s="239"/>
      <c r="AC362" s="239"/>
      <c r="AD362" s="239"/>
      <c r="AE362" s="239"/>
      <c r="AF362" s="239"/>
      <c r="AG362" s="239"/>
      <c r="AH362" s="239"/>
      <c r="AI362" s="239"/>
      <c r="AJ362" s="239"/>
      <c r="AK362" s="239"/>
      <c r="AL362" s="239"/>
      <c r="AM362" s="4"/>
      <c r="AN362" s="4"/>
    </row>
    <row r="363" ht="15.75" customHeight="1">
      <c r="A363" s="4"/>
      <c r="B363" s="4"/>
      <c r="C363" s="12"/>
      <c r="D363" s="4"/>
      <c r="E363" s="4"/>
      <c r="F363" s="4"/>
      <c r="G363" s="4"/>
      <c r="H363" s="4"/>
      <c r="I363" s="237"/>
      <c r="J363" s="238"/>
      <c r="K363" s="238"/>
      <c r="L363" s="239"/>
      <c r="M363" s="239"/>
      <c r="N363" s="239"/>
      <c r="O363" s="240"/>
      <c r="P363" s="238"/>
      <c r="Q363" s="241"/>
      <c r="R363" s="239"/>
      <c r="S363" s="239"/>
      <c r="T363" s="239"/>
      <c r="U363" s="240"/>
      <c r="V363" s="238"/>
      <c r="W363" s="242"/>
      <c r="X363" s="239"/>
      <c r="Y363" s="239"/>
      <c r="Z363" s="239"/>
      <c r="AA363" s="239"/>
      <c r="AB363" s="239"/>
      <c r="AC363" s="239"/>
      <c r="AD363" s="239"/>
      <c r="AE363" s="239"/>
      <c r="AF363" s="239"/>
      <c r="AG363" s="239"/>
      <c r="AH363" s="239"/>
      <c r="AI363" s="239"/>
      <c r="AJ363" s="239"/>
      <c r="AK363" s="239"/>
      <c r="AL363" s="239"/>
      <c r="AM363" s="4"/>
      <c r="AN363" s="4"/>
    </row>
    <row r="364" ht="15.75" customHeight="1">
      <c r="A364" s="4"/>
      <c r="B364" s="4"/>
      <c r="C364" s="12"/>
      <c r="D364" s="4"/>
      <c r="E364" s="4"/>
      <c r="F364" s="4"/>
      <c r="G364" s="4"/>
      <c r="H364" s="4"/>
      <c r="I364" s="237"/>
      <c r="J364" s="238"/>
      <c r="K364" s="238"/>
      <c r="L364" s="239"/>
      <c r="M364" s="239"/>
      <c r="N364" s="239"/>
      <c r="O364" s="240"/>
      <c r="P364" s="238"/>
      <c r="Q364" s="241"/>
      <c r="R364" s="239"/>
      <c r="S364" s="239"/>
      <c r="T364" s="239"/>
      <c r="U364" s="240"/>
      <c r="V364" s="238"/>
      <c r="W364" s="242"/>
      <c r="X364" s="239"/>
      <c r="Y364" s="239"/>
      <c r="Z364" s="239"/>
      <c r="AA364" s="239"/>
      <c r="AB364" s="239"/>
      <c r="AC364" s="239"/>
      <c r="AD364" s="239"/>
      <c r="AE364" s="239"/>
      <c r="AF364" s="239"/>
      <c r="AG364" s="239"/>
      <c r="AH364" s="239"/>
      <c r="AI364" s="239"/>
      <c r="AJ364" s="239"/>
      <c r="AK364" s="239"/>
      <c r="AL364" s="239"/>
      <c r="AM364" s="4"/>
      <c r="AN364" s="4"/>
    </row>
    <row r="365" ht="15.75" customHeight="1">
      <c r="A365" s="4"/>
      <c r="B365" s="4"/>
      <c r="C365" s="12"/>
      <c r="D365" s="4"/>
      <c r="E365" s="4"/>
      <c r="F365" s="4"/>
      <c r="G365" s="4"/>
      <c r="H365" s="4"/>
      <c r="I365" s="237"/>
      <c r="J365" s="238"/>
      <c r="K365" s="238"/>
      <c r="L365" s="239"/>
      <c r="M365" s="239"/>
      <c r="N365" s="239"/>
      <c r="O365" s="240"/>
      <c r="P365" s="238"/>
      <c r="Q365" s="241"/>
      <c r="R365" s="239"/>
      <c r="S365" s="239"/>
      <c r="T365" s="239"/>
      <c r="U365" s="240"/>
      <c r="V365" s="238"/>
      <c r="W365" s="242"/>
      <c r="X365" s="239"/>
      <c r="Y365" s="239"/>
      <c r="Z365" s="239"/>
      <c r="AA365" s="239"/>
      <c r="AB365" s="239"/>
      <c r="AC365" s="239"/>
      <c r="AD365" s="239"/>
      <c r="AE365" s="239"/>
      <c r="AF365" s="239"/>
      <c r="AG365" s="239"/>
      <c r="AH365" s="239"/>
      <c r="AI365" s="239"/>
      <c r="AJ365" s="239"/>
      <c r="AK365" s="239"/>
      <c r="AL365" s="239"/>
      <c r="AM365" s="4"/>
      <c r="AN365" s="4"/>
    </row>
    <row r="366" ht="15.75" customHeight="1">
      <c r="A366" s="4"/>
      <c r="B366" s="4"/>
      <c r="C366" s="12"/>
      <c r="D366" s="4"/>
      <c r="E366" s="4"/>
      <c r="F366" s="4"/>
      <c r="G366" s="4"/>
      <c r="H366" s="4"/>
      <c r="I366" s="237"/>
      <c r="J366" s="238"/>
      <c r="K366" s="238"/>
      <c r="L366" s="239"/>
      <c r="M366" s="239"/>
      <c r="N366" s="239"/>
      <c r="O366" s="240"/>
      <c r="P366" s="238"/>
      <c r="Q366" s="241"/>
      <c r="R366" s="239"/>
      <c r="S366" s="239"/>
      <c r="T366" s="239"/>
      <c r="U366" s="240"/>
      <c r="V366" s="238"/>
      <c r="W366" s="242"/>
      <c r="X366" s="239"/>
      <c r="Y366" s="239"/>
      <c r="Z366" s="239"/>
      <c r="AA366" s="239"/>
      <c r="AB366" s="239"/>
      <c r="AC366" s="239"/>
      <c r="AD366" s="239"/>
      <c r="AE366" s="239"/>
      <c r="AF366" s="239"/>
      <c r="AG366" s="239"/>
      <c r="AH366" s="239"/>
      <c r="AI366" s="239"/>
      <c r="AJ366" s="239"/>
      <c r="AK366" s="239"/>
      <c r="AL366" s="239"/>
      <c r="AM366" s="4"/>
      <c r="AN366" s="4"/>
    </row>
    <row r="367" ht="15.75" customHeight="1">
      <c r="A367" s="4"/>
      <c r="B367" s="4"/>
      <c r="C367" s="12"/>
      <c r="D367" s="4"/>
      <c r="E367" s="4"/>
      <c r="F367" s="4"/>
      <c r="G367" s="4"/>
      <c r="H367" s="4"/>
      <c r="I367" s="237"/>
      <c r="J367" s="238"/>
      <c r="K367" s="238"/>
      <c r="L367" s="239"/>
      <c r="M367" s="239"/>
      <c r="N367" s="239"/>
      <c r="O367" s="240"/>
      <c r="P367" s="238"/>
      <c r="Q367" s="241"/>
      <c r="R367" s="239"/>
      <c r="S367" s="239"/>
      <c r="T367" s="239"/>
      <c r="U367" s="240"/>
      <c r="V367" s="238"/>
      <c r="W367" s="242"/>
      <c r="X367" s="239"/>
      <c r="Y367" s="239"/>
      <c r="Z367" s="239"/>
      <c r="AA367" s="239"/>
      <c r="AB367" s="239"/>
      <c r="AC367" s="239"/>
      <c r="AD367" s="239"/>
      <c r="AE367" s="239"/>
      <c r="AF367" s="239"/>
      <c r="AG367" s="239"/>
      <c r="AH367" s="239"/>
      <c r="AI367" s="239"/>
      <c r="AJ367" s="239"/>
      <c r="AK367" s="239"/>
      <c r="AL367" s="239"/>
      <c r="AM367" s="4"/>
      <c r="AN367" s="4"/>
    </row>
    <row r="368" ht="15.75" customHeight="1">
      <c r="A368" s="4"/>
      <c r="B368" s="4"/>
      <c r="C368" s="12"/>
      <c r="D368" s="4"/>
      <c r="E368" s="4"/>
      <c r="F368" s="4"/>
      <c r="G368" s="4"/>
      <c r="H368" s="4"/>
      <c r="I368" s="237"/>
      <c r="J368" s="238"/>
      <c r="K368" s="238"/>
      <c r="L368" s="239"/>
      <c r="M368" s="239"/>
      <c r="N368" s="239"/>
      <c r="O368" s="240"/>
      <c r="P368" s="238"/>
      <c r="Q368" s="241"/>
      <c r="R368" s="239"/>
      <c r="S368" s="239"/>
      <c r="T368" s="239"/>
      <c r="U368" s="240"/>
      <c r="V368" s="238"/>
      <c r="W368" s="242"/>
      <c r="X368" s="239"/>
      <c r="Y368" s="239"/>
      <c r="Z368" s="239"/>
      <c r="AA368" s="239"/>
      <c r="AB368" s="239"/>
      <c r="AC368" s="239"/>
      <c r="AD368" s="239"/>
      <c r="AE368" s="239"/>
      <c r="AF368" s="239"/>
      <c r="AG368" s="239"/>
      <c r="AH368" s="239"/>
      <c r="AI368" s="239"/>
      <c r="AJ368" s="239"/>
      <c r="AK368" s="239"/>
      <c r="AL368" s="239"/>
      <c r="AM368" s="4"/>
      <c r="AN368" s="4"/>
    </row>
    <row r="369" ht="15.75" customHeight="1">
      <c r="A369" s="4"/>
      <c r="B369" s="4"/>
      <c r="C369" s="12"/>
      <c r="D369" s="4"/>
      <c r="E369" s="4"/>
      <c r="F369" s="4"/>
      <c r="G369" s="4"/>
      <c r="H369" s="4"/>
      <c r="I369" s="237"/>
      <c r="J369" s="238"/>
      <c r="K369" s="238"/>
      <c r="L369" s="239"/>
      <c r="M369" s="239"/>
      <c r="N369" s="239"/>
      <c r="O369" s="240"/>
      <c r="P369" s="238"/>
      <c r="Q369" s="241"/>
      <c r="R369" s="239"/>
      <c r="S369" s="239"/>
      <c r="T369" s="239"/>
      <c r="U369" s="240"/>
      <c r="V369" s="238"/>
      <c r="W369" s="242"/>
      <c r="X369" s="239"/>
      <c r="Y369" s="239"/>
      <c r="Z369" s="239"/>
      <c r="AA369" s="239"/>
      <c r="AB369" s="239"/>
      <c r="AC369" s="239"/>
      <c r="AD369" s="239"/>
      <c r="AE369" s="239"/>
      <c r="AF369" s="239"/>
      <c r="AG369" s="239"/>
      <c r="AH369" s="239"/>
      <c r="AI369" s="239"/>
      <c r="AJ369" s="239"/>
      <c r="AK369" s="239"/>
      <c r="AL369" s="239"/>
      <c r="AM369" s="4"/>
      <c r="AN369" s="4"/>
    </row>
    <row r="370" ht="15.75" customHeight="1">
      <c r="A370" s="4"/>
      <c r="B370" s="4"/>
      <c r="C370" s="12"/>
      <c r="D370" s="4"/>
      <c r="E370" s="4"/>
      <c r="F370" s="4"/>
      <c r="G370" s="4"/>
      <c r="H370" s="4"/>
      <c r="I370" s="237"/>
      <c r="J370" s="238"/>
      <c r="K370" s="238"/>
      <c r="L370" s="239"/>
      <c r="M370" s="239"/>
      <c r="N370" s="239"/>
      <c r="O370" s="240"/>
      <c r="P370" s="238"/>
      <c r="Q370" s="241"/>
      <c r="R370" s="239"/>
      <c r="S370" s="239"/>
      <c r="T370" s="239"/>
      <c r="U370" s="240"/>
      <c r="V370" s="238"/>
      <c r="W370" s="242"/>
      <c r="X370" s="239"/>
      <c r="Y370" s="239"/>
      <c r="Z370" s="239"/>
      <c r="AA370" s="239"/>
      <c r="AB370" s="239"/>
      <c r="AC370" s="239"/>
      <c r="AD370" s="239"/>
      <c r="AE370" s="239"/>
      <c r="AF370" s="239"/>
      <c r="AG370" s="239"/>
      <c r="AH370" s="239"/>
      <c r="AI370" s="239"/>
      <c r="AJ370" s="239"/>
      <c r="AK370" s="239"/>
      <c r="AL370" s="239"/>
      <c r="AM370" s="4"/>
      <c r="AN370" s="4"/>
    </row>
    <row r="371" ht="15.75" customHeight="1">
      <c r="A371" s="4"/>
      <c r="B371" s="4"/>
      <c r="C371" s="12"/>
      <c r="D371" s="4"/>
      <c r="E371" s="4"/>
      <c r="F371" s="4"/>
      <c r="G371" s="4"/>
      <c r="H371" s="4"/>
      <c r="I371" s="237"/>
      <c r="J371" s="238"/>
      <c r="K371" s="238"/>
      <c r="L371" s="239"/>
      <c r="M371" s="239"/>
      <c r="N371" s="239"/>
      <c r="O371" s="240"/>
      <c r="P371" s="238"/>
      <c r="Q371" s="241"/>
      <c r="R371" s="239"/>
      <c r="S371" s="239"/>
      <c r="T371" s="239"/>
      <c r="U371" s="240"/>
      <c r="V371" s="238"/>
      <c r="W371" s="242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4"/>
      <c r="AN371" s="4"/>
    </row>
    <row r="372" ht="15.75" customHeight="1">
      <c r="A372" s="4"/>
      <c r="B372" s="4"/>
      <c r="C372" s="12"/>
      <c r="D372" s="4"/>
      <c r="E372" s="4"/>
      <c r="F372" s="4"/>
      <c r="G372" s="4"/>
      <c r="H372" s="4"/>
      <c r="I372" s="237"/>
      <c r="J372" s="238"/>
      <c r="K372" s="238"/>
      <c r="L372" s="239"/>
      <c r="M372" s="239"/>
      <c r="N372" s="239"/>
      <c r="O372" s="240"/>
      <c r="P372" s="238"/>
      <c r="Q372" s="241"/>
      <c r="R372" s="239"/>
      <c r="S372" s="239"/>
      <c r="T372" s="239"/>
      <c r="U372" s="240"/>
      <c r="V372" s="238"/>
      <c r="W372" s="242"/>
      <c r="X372" s="239"/>
      <c r="Y372" s="239"/>
      <c r="Z372" s="239"/>
      <c r="AA372" s="239"/>
      <c r="AB372" s="239"/>
      <c r="AC372" s="239"/>
      <c r="AD372" s="239"/>
      <c r="AE372" s="239"/>
      <c r="AF372" s="239"/>
      <c r="AG372" s="239"/>
      <c r="AH372" s="239"/>
      <c r="AI372" s="239"/>
      <c r="AJ372" s="239"/>
      <c r="AK372" s="239"/>
      <c r="AL372" s="239"/>
      <c r="AM372" s="4"/>
      <c r="AN372" s="4"/>
    </row>
    <row r="373" ht="15.75" customHeight="1">
      <c r="A373" s="4"/>
      <c r="B373" s="4"/>
      <c r="C373" s="12"/>
      <c r="D373" s="4"/>
      <c r="E373" s="4"/>
      <c r="F373" s="4"/>
      <c r="G373" s="4"/>
      <c r="H373" s="4"/>
      <c r="I373" s="237"/>
      <c r="J373" s="238"/>
      <c r="K373" s="238"/>
      <c r="L373" s="239"/>
      <c r="M373" s="239"/>
      <c r="N373" s="239"/>
      <c r="O373" s="240"/>
      <c r="P373" s="238"/>
      <c r="Q373" s="241"/>
      <c r="R373" s="239"/>
      <c r="S373" s="239"/>
      <c r="T373" s="239"/>
      <c r="U373" s="240"/>
      <c r="V373" s="238"/>
      <c r="W373" s="242"/>
      <c r="X373" s="239"/>
      <c r="Y373" s="239"/>
      <c r="Z373" s="239"/>
      <c r="AA373" s="239"/>
      <c r="AB373" s="239"/>
      <c r="AC373" s="239"/>
      <c r="AD373" s="239"/>
      <c r="AE373" s="239"/>
      <c r="AF373" s="239"/>
      <c r="AG373" s="239"/>
      <c r="AH373" s="239"/>
      <c r="AI373" s="239"/>
      <c r="AJ373" s="239"/>
      <c r="AK373" s="239"/>
      <c r="AL373" s="239"/>
      <c r="AM373" s="4"/>
      <c r="AN373" s="4"/>
    </row>
    <row r="374" ht="15.75" customHeight="1">
      <c r="A374" s="4"/>
      <c r="B374" s="4"/>
      <c r="C374" s="12"/>
      <c r="D374" s="4"/>
      <c r="E374" s="4"/>
      <c r="F374" s="4"/>
      <c r="G374" s="4"/>
      <c r="H374" s="4"/>
      <c r="I374" s="237"/>
      <c r="J374" s="238"/>
      <c r="K374" s="238"/>
      <c r="L374" s="239"/>
      <c r="M374" s="239"/>
      <c r="N374" s="239"/>
      <c r="O374" s="240"/>
      <c r="P374" s="238"/>
      <c r="Q374" s="241"/>
      <c r="R374" s="239"/>
      <c r="S374" s="239"/>
      <c r="T374" s="239"/>
      <c r="U374" s="240"/>
      <c r="V374" s="238"/>
      <c r="W374" s="242"/>
      <c r="X374" s="239"/>
      <c r="Y374" s="239"/>
      <c r="Z374" s="239"/>
      <c r="AA374" s="239"/>
      <c r="AB374" s="239"/>
      <c r="AC374" s="239"/>
      <c r="AD374" s="239"/>
      <c r="AE374" s="239"/>
      <c r="AF374" s="239"/>
      <c r="AG374" s="239"/>
      <c r="AH374" s="239"/>
      <c r="AI374" s="239"/>
      <c r="AJ374" s="239"/>
      <c r="AK374" s="239"/>
      <c r="AL374" s="239"/>
      <c r="AM374" s="4"/>
      <c r="AN374" s="4"/>
    </row>
    <row r="375" ht="15.75" customHeight="1">
      <c r="A375" s="4"/>
      <c r="B375" s="4"/>
      <c r="C375" s="12"/>
      <c r="D375" s="4"/>
      <c r="E375" s="4"/>
      <c r="F375" s="4"/>
      <c r="G375" s="4"/>
      <c r="H375" s="4"/>
      <c r="I375" s="237"/>
      <c r="J375" s="238"/>
      <c r="K375" s="238"/>
      <c r="L375" s="239"/>
      <c r="M375" s="239"/>
      <c r="N375" s="239"/>
      <c r="O375" s="240"/>
      <c r="P375" s="238"/>
      <c r="Q375" s="241"/>
      <c r="R375" s="239"/>
      <c r="S375" s="239"/>
      <c r="T375" s="239"/>
      <c r="U375" s="240"/>
      <c r="V375" s="238"/>
      <c r="W375" s="242"/>
      <c r="X375" s="239"/>
      <c r="Y375" s="239"/>
      <c r="Z375" s="239"/>
      <c r="AA375" s="239"/>
      <c r="AB375" s="239"/>
      <c r="AC375" s="239"/>
      <c r="AD375" s="239"/>
      <c r="AE375" s="239"/>
      <c r="AF375" s="239"/>
      <c r="AG375" s="239"/>
      <c r="AH375" s="239"/>
      <c r="AI375" s="239"/>
      <c r="AJ375" s="239"/>
      <c r="AK375" s="239"/>
      <c r="AL375" s="239"/>
      <c r="AM375" s="4"/>
      <c r="AN375" s="4"/>
    </row>
    <row r="376" ht="15.75" customHeight="1">
      <c r="A376" s="4"/>
      <c r="B376" s="4"/>
      <c r="C376" s="12"/>
      <c r="D376" s="4"/>
      <c r="E376" s="4"/>
      <c r="F376" s="4"/>
      <c r="G376" s="4"/>
      <c r="H376" s="4"/>
      <c r="I376" s="237"/>
      <c r="J376" s="238"/>
      <c r="K376" s="238"/>
      <c r="L376" s="239"/>
      <c r="M376" s="239"/>
      <c r="N376" s="239"/>
      <c r="O376" s="240"/>
      <c r="P376" s="238"/>
      <c r="Q376" s="241"/>
      <c r="R376" s="239"/>
      <c r="S376" s="239"/>
      <c r="T376" s="239"/>
      <c r="U376" s="240"/>
      <c r="V376" s="238"/>
      <c r="W376" s="242"/>
      <c r="X376" s="239"/>
      <c r="Y376" s="239"/>
      <c r="Z376" s="239"/>
      <c r="AA376" s="239"/>
      <c r="AB376" s="239"/>
      <c r="AC376" s="239"/>
      <c r="AD376" s="239"/>
      <c r="AE376" s="239"/>
      <c r="AF376" s="239"/>
      <c r="AG376" s="239"/>
      <c r="AH376" s="239"/>
      <c r="AI376" s="239"/>
      <c r="AJ376" s="239"/>
      <c r="AK376" s="239"/>
      <c r="AL376" s="239"/>
      <c r="AM376" s="4"/>
      <c r="AN376" s="4"/>
    </row>
    <row r="377" ht="15.75" customHeight="1">
      <c r="A377" s="4"/>
      <c r="B377" s="4"/>
      <c r="C377" s="12"/>
      <c r="D377" s="4"/>
      <c r="E377" s="4"/>
      <c r="F377" s="4"/>
      <c r="G377" s="4"/>
      <c r="H377" s="4"/>
      <c r="I377" s="237"/>
      <c r="J377" s="238"/>
      <c r="K377" s="238"/>
      <c r="L377" s="239"/>
      <c r="M377" s="239"/>
      <c r="N377" s="239"/>
      <c r="O377" s="240"/>
      <c r="P377" s="238"/>
      <c r="Q377" s="241"/>
      <c r="R377" s="239"/>
      <c r="S377" s="239"/>
      <c r="T377" s="239"/>
      <c r="U377" s="240"/>
      <c r="V377" s="238"/>
      <c r="W377" s="242"/>
      <c r="X377" s="239"/>
      <c r="Y377" s="239"/>
      <c r="Z377" s="239"/>
      <c r="AA377" s="239"/>
      <c r="AB377" s="239"/>
      <c r="AC377" s="239"/>
      <c r="AD377" s="239"/>
      <c r="AE377" s="239"/>
      <c r="AF377" s="239"/>
      <c r="AG377" s="239"/>
      <c r="AH377" s="239"/>
      <c r="AI377" s="239"/>
      <c r="AJ377" s="239"/>
      <c r="AK377" s="239"/>
      <c r="AL377" s="239"/>
      <c r="AM377" s="4"/>
      <c r="AN377" s="4"/>
    </row>
    <row r="378" ht="15.75" customHeight="1">
      <c r="A378" s="4"/>
      <c r="B378" s="4"/>
      <c r="C378" s="12"/>
      <c r="D378" s="4"/>
      <c r="E378" s="4"/>
      <c r="F378" s="4"/>
      <c r="G378" s="4"/>
      <c r="H378" s="4"/>
      <c r="I378" s="237"/>
      <c r="J378" s="238"/>
      <c r="K378" s="238"/>
      <c r="L378" s="239"/>
      <c r="M378" s="239"/>
      <c r="N378" s="239"/>
      <c r="O378" s="240"/>
      <c r="P378" s="238"/>
      <c r="Q378" s="241"/>
      <c r="R378" s="239"/>
      <c r="S378" s="239"/>
      <c r="T378" s="239"/>
      <c r="U378" s="240"/>
      <c r="V378" s="238"/>
      <c r="W378" s="242"/>
      <c r="X378" s="239"/>
      <c r="Y378" s="239"/>
      <c r="Z378" s="239"/>
      <c r="AA378" s="239"/>
      <c r="AB378" s="239"/>
      <c r="AC378" s="239"/>
      <c r="AD378" s="239"/>
      <c r="AE378" s="239"/>
      <c r="AF378" s="239"/>
      <c r="AG378" s="239"/>
      <c r="AH378" s="239"/>
      <c r="AI378" s="239"/>
      <c r="AJ378" s="239"/>
      <c r="AK378" s="239"/>
      <c r="AL378" s="239"/>
      <c r="AM378" s="4"/>
      <c r="AN378" s="4"/>
    </row>
    <row r="379" ht="15.75" customHeight="1">
      <c r="A379" s="4"/>
      <c r="B379" s="4"/>
      <c r="C379" s="12"/>
      <c r="D379" s="4"/>
      <c r="E379" s="4"/>
      <c r="F379" s="4"/>
      <c r="G379" s="4"/>
      <c r="H379" s="4"/>
      <c r="I379" s="237"/>
      <c r="J379" s="238"/>
      <c r="K379" s="238"/>
      <c r="L379" s="239"/>
      <c r="M379" s="239"/>
      <c r="N379" s="239"/>
      <c r="O379" s="240"/>
      <c r="P379" s="238"/>
      <c r="Q379" s="241"/>
      <c r="R379" s="239"/>
      <c r="S379" s="239"/>
      <c r="T379" s="239"/>
      <c r="U379" s="240"/>
      <c r="V379" s="238"/>
      <c r="W379" s="242"/>
      <c r="X379" s="239"/>
      <c r="Y379" s="239"/>
      <c r="Z379" s="239"/>
      <c r="AA379" s="239"/>
      <c r="AB379" s="239"/>
      <c r="AC379" s="239"/>
      <c r="AD379" s="239"/>
      <c r="AE379" s="239"/>
      <c r="AF379" s="239"/>
      <c r="AG379" s="239"/>
      <c r="AH379" s="239"/>
      <c r="AI379" s="239"/>
      <c r="AJ379" s="239"/>
      <c r="AK379" s="239"/>
      <c r="AL379" s="239"/>
      <c r="AM379" s="4"/>
      <c r="AN379" s="4"/>
    </row>
    <row r="380" ht="15.75" customHeight="1">
      <c r="A380" s="4"/>
      <c r="B380" s="4"/>
      <c r="C380" s="12"/>
      <c r="D380" s="4"/>
      <c r="E380" s="4"/>
      <c r="F380" s="4"/>
      <c r="G380" s="4"/>
      <c r="H380" s="4"/>
      <c r="I380" s="237"/>
      <c r="J380" s="238"/>
      <c r="K380" s="238"/>
      <c r="L380" s="239"/>
      <c r="M380" s="239"/>
      <c r="N380" s="239"/>
      <c r="O380" s="240"/>
      <c r="P380" s="238"/>
      <c r="Q380" s="241"/>
      <c r="R380" s="239"/>
      <c r="S380" s="239"/>
      <c r="T380" s="239"/>
      <c r="U380" s="240"/>
      <c r="V380" s="238"/>
      <c r="W380" s="242"/>
      <c r="X380" s="239"/>
      <c r="Y380" s="239"/>
      <c r="Z380" s="239"/>
      <c r="AA380" s="239"/>
      <c r="AB380" s="239"/>
      <c r="AC380" s="239"/>
      <c r="AD380" s="239"/>
      <c r="AE380" s="239"/>
      <c r="AF380" s="239"/>
      <c r="AG380" s="239"/>
      <c r="AH380" s="239"/>
      <c r="AI380" s="239"/>
      <c r="AJ380" s="239"/>
      <c r="AK380" s="239"/>
      <c r="AL380" s="239"/>
      <c r="AM380" s="4"/>
      <c r="AN380" s="4"/>
    </row>
    <row r="381" ht="15.75" customHeight="1">
      <c r="A381" s="4"/>
      <c r="B381" s="4"/>
      <c r="C381" s="12"/>
      <c r="D381" s="4"/>
      <c r="E381" s="4"/>
      <c r="F381" s="4"/>
      <c r="G381" s="4"/>
      <c r="H381" s="4"/>
      <c r="I381" s="237"/>
      <c r="J381" s="238"/>
      <c r="K381" s="238"/>
      <c r="L381" s="239"/>
      <c r="M381" s="239"/>
      <c r="N381" s="239"/>
      <c r="O381" s="240"/>
      <c r="P381" s="238"/>
      <c r="Q381" s="241"/>
      <c r="R381" s="239"/>
      <c r="S381" s="239"/>
      <c r="T381" s="239"/>
      <c r="U381" s="240"/>
      <c r="V381" s="238"/>
      <c r="W381" s="242"/>
      <c r="X381" s="239"/>
      <c r="Y381" s="239"/>
      <c r="Z381" s="239"/>
      <c r="AA381" s="239"/>
      <c r="AB381" s="239"/>
      <c r="AC381" s="239"/>
      <c r="AD381" s="239"/>
      <c r="AE381" s="239"/>
      <c r="AF381" s="239"/>
      <c r="AG381" s="239"/>
      <c r="AH381" s="239"/>
      <c r="AI381" s="239"/>
      <c r="AJ381" s="239"/>
      <c r="AK381" s="239"/>
      <c r="AL381" s="239"/>
      <c r="AM381" s="4"/>
      <c r="AN381" s="4"/>
    </row>
    <row r="382" ht="15.75" customHeight="1">
      <c r="A382" s="4"/>
      <c r="B382" s="4"/>
      <c r="C382" s="12"/>
      <c r="D382" s="4"/>
      <c r="E382" s="4"/>
      <c r="F382" s="4"/>
      <c r="G382" s="4"/>
      <c r="H382" s="4"/>
      <c r="I382" s="237"/>
      <c r="J382" s="238"/>
      <c r="K382" s="238"/>
      <c r="L382" s="239"/>
      <c r="M382" s="239"/>
      <c r="N382" s="239"/>
      <c r="O382" s="240"/>
      <c r="P382" s="238"/>
      <c r="Q382" s="241"/>
      <c r="R382" s="239"/>
      <c r="S382" s="239"/>
      <c r="T382" s="239"/>
      <c r="U382" s="240"/>
      <c r="V382" s="238"/>
      <c r="W382" s="242"/>
      <c r="X382" s="239"/>
      <c r="Y382" s="239"/>
      <c r="Z382" s="239"/>
      <c r="AA382" s="239"/>
      <c r="AB382" s="239"/>
      <c r="AC382" s="239"/>
      <c r="AD382" s="239"/>
      <c r="AE382" s="239"/>
      <c r="AF382" s="239"/>
      <c r="AG382" s="239"/>
      <c r="AH382" s="239"/>
      <c r="AI382" s="239"/>
      <c r="AJ382" s="239"/>
      <c r="AK382" s="239"/>
      <c r="AL382" s="239"/>
      <c r="AM382" s="4"/>
      <c r="AN382" s="4"/>
    </row>
    <row r="383" ht="15.75" customHeight="1">
      <c r="A383" s="4"/>
      <c r="B383" s="4"/>
      <c r="C383" s="12"/>
      <c r="D383" s="4"/>
      <c r="E383" s="4"/>
      <c r="F383" s="4"/>
      <c r="G383" s="4"/>
      <c r="H383" s="4"/>
      <c r="I383" s="237"/>
      <c r="J383" s="238"/>
      <c r="K383" s="238"/>
      <c r="L383" s="239"/>
      <c r="M383" s="239"/>
      <c r="N383" s="239"/>
      <c r="O383" s="240"/>
      <c r="P383" s="238"/>
      <c r="Q383" s="241"/>
      <c r="R383" s="239"/>
      <c r="S383" s="239"/>
      <c r="T383" s="239"/>
      <c r="U383" s="240"/>
      <c r="V383" s="238"/>
      <c r="W383" s="242"/>
      <c r="X383" s="239"/>
      <c r="Y383" s="239"/>
      <c r="Z383" s="239"/>
      <c r="AA383" s="239"/>
      <c r="AB383" s="239"/>
      <c r="AC383" s="239"/>
      <c r="AD383" s="239"/>
      <c r="AE383" s="239"/>
      <c r="AF383" s="239"/>
      <c r="AG383" s="239"/>
      <c r="AH383" s="239"/>
      <c r="AI383" s="239"/>
      <c r="AJ383" s="239"/>
      <c r="AK383" s="239"/>
      <c r="AL383" s="239"/>
      <c r="AM383" s="4"/>
      <c r="AN383" s="4"/>
    </row>
    <row r="384" ht="15.75" customHeight="1">
      <c r="A384" s="4"/>
      <c r="B384" s="4"/>
      <c r="C384" s="12"/>
      <c r="D384" s="4"/>
      <c r="E384" s="4"/>
      <c r="F384" s="4"/>
      <c r="G384" s="4"/>
      <c r="H384" s="4"/>
      <c r="I384" s="237"/>
      <c r="J384" s="238"/>
      <c r="K384" s="238"/>
      <c r="L384" s="239"/>
      <c r="M384" s="239"/>
      <c r="N384" s="239"/>
      <c r="O384" s="240"/>
      <c r="P384" s="238"/>
      <c r="Q384" s="241"/>
      <c r="R384" s="239"/>
      <c r="S384" s="239"/>
      <c r="T384" s="239"/>
      <c r="U384" s="240"/>
      <c r="V384" s="238"/>
      <c r="W384" s="242"/>
      <c r="X384" s="239"/>
      <c r="Y384" s="239"/>
      <c r="Z384" s="239"/>
      <c r="AA384" s="239"/>
      <c r="AB384" s="239"/>
      <c r="AC384" s="239"/>
      <c r="AD384" s="239"/>
      <c r="AE384" s="239"/>
      <c r="AF384" s="239"/>
      <c r="AG384" s="239"/>
      <c r="AH384" s="239"/>
      <c r="AI384" s="239"/>
      <c r="AJ384" s="239"/>
      <c r="AK384" s="239"/>
      <c r="AL384" s="239"/>
      <c r="AM384" s="4"/>
      <c r="AN384" s="4"/>
    </row>
    <row r="385" ht="15.75" customHeight="1">
      <c r="A385" s="4"/>
      <c r="B385" s="4"/>
      <c r="C385" s="12"/>
      <c r="D385" s="4"/>
      <c r="E385" s="4"/>
      <c r="F385" s="4"/>
      <c r="G385" s="4"/>
      <c r="H385" s="4"/>
      <c r="I385" s="237"/>
      <c r="J385" s="238"/>
      <c r="K385" s="238"/>
      <c r="L385" s="239"/>
      <c r="M385" s="239"/>
      <c r="N385" s="239"/>
      <c r="O385" s="240"/>
      <c r="P385" s="238"/>
      <c r="Q385" s="241"/>
      <c r="R385" s="239"/>
      <c r="S385" s="239"/>
      <c r="T385" s="239"/>
      <c r="U385" s="240"/>
      <c r="V385" s="238"/>
      <c r="W385" s="242"/>
      <c r="X385" s="239"/>
      <c r="Y385" s="239"/>
      <c r="Z385" s="239"/>
      <c r="AA385" s="239"/>
      <c r="AB385" s="239"/>
      <c r="AC385" s="239"/>
      <c r="AD385" s="239"/>
      <c r="AE385" s="239"/>
      <c r="AF385" s="239"/>
      <c r="AG385" s="239"/>
      <c r="AH385" s="239"/>
      <c r="AI385" s="239"/>
      <c r="AJ385" s="239"/>
      <c r="AK385" s="239"/>
      <c r="AL385" s="239"/>
      <c r="AM385" s="4"/>
      <c r="AN385" s="4"/>
    </row>
    <row r="386" ht="15.75" customHeight="1">
      <c r="A386" s="4"/>
      <c r="B386" s="4"/>
      <c r="C386" s="12"/>
      <c r="D386" s="4"/>
      <c r="E386" s="4"/>
      <c r="F386" s="4"/>
      <c r="G386" s="4"/>
      <c r="H386" s="4"/>
      <c r="I386" s="237"/>
      <c r="J386" s="238"/>
      <c r="K386" s="238"/>
      <c r="L386" s="239"/>
      <c r="M386" s="239"/>
      <c r="N386" s="239"/>
      <c r="O386" s="240"/>
      <c r="P386" s="238"/>
      <c r="Q386" s="241"/>
      <c r="R386" s="239"/>
      <c r="S386" s="239"/>
      <c r="T386" s="239"/>
      <c r="U386" s="240"/>
      <c r="V386" s="238"/>
      <c r="W386" s="242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4"/>
      <c r="AN386" s="4"/>
    </row>
    <row r="387" ht="15.75" customHeight="1">
      <c r="A387" s="4"/>
      <c r="B387" s="4"/>
      <c r="C387" s="12"/>
      <c r="D387" s="4"/>
      <c r="E387" s="4"/>
      <c r="F387" s="4"/>
      <c r="G387" s="4"/>
      <c r="H387" s="4"/>
      <c r="I387" s="237"/>
      <c r="J387" s="238"/>
      <c r="K387" s="238"/>
      <c r="L387" s="239"/>
      <c r="M387" s="239"/>
      <c r="N387" s="239"/>
      <c r="O387" s="240"/>
      <c r="P387" s="238"/>
      <c r="Q387" s="241"/>
      <c r="R387" s="239"/>
      <c r="S387" s="239"/>
      <c r="T387" s="239"/>
      <c r="U387" s="240"/>
      <c r="V387" s="238"/>
      <c r="W387" s="242"/>
      <c r="X387" s="239"/>
      <c r="Y387" s="239"/>
      <c r="Z387" s="239"/>
      <c r="AA387" s="239"/>
      <c r="AB387" s="239"/>
      <c r="AC387" s="239"/>
      <c r="AD387" s="239"/>
      <c r="AE387" s="239"/>
      <c r="AF387" s="239"/>
      <c r="AG387" s="239"/>
      <c r="AH387" s="239"/>
      <c r="AI387" s="239"/>
      <c r="AJ387" s="239"/>
      <c r="AK387" s="239"/>
      <c r="AL387" s="239"/>
      <c r="AM387" s="4"/>
      <c r="AN387" s="4"/>
    </row>
    <row r="388" ht="15.75" customHeight="1">
      <c r="A388" s="4"/>
      <c r="B388" s="4"/>
      <c r="C388" s="12"/>
      <c r="D388" s="4"/>
      <c r="E388" s="4"/>
      <c r="F388" s="4"/>
      <c r="G388" s="4"/>
      <c r="H388" s="4"/>
      <c r="I388" s="237"/>
      <c r="J388" s="238"/>
      <c r="K388" s="238"/>
      <c r="L388" s="239"/>
      <c r="M388" s="239"/>
      <c r="N388" s="239"/>
      <c r="O388" s="240"/>
      <c r="P388" s="238"/>
      <c r="Q388" s="241"/>
      <c r="R388" s="239"/>
      <c r="S388" s="239"/>
      <c r="T388" s="239"/>
      <c r="U388" s="240"/>
      <c r="V388" s="238"/>
      <c r="W388" s="242"/>
      <c r="X388" s="239"/>
      <c r="Y388" s="239"/>
      <c r="Z388" s="239"/>
      <c r="AA388" s="239"/>
      <c r="AB388" s="239"/>
      <c r="AC388" s="239"/>
      <c r="AD388" s="239"/>
      <c r="AE388" s="239"/>
      <c r="AF388" s="239"/>
      <c r="AG388" s="239"/>
      <c r="AH388" s="239"/>
      <c r="AI388" s="239"/>
      <c r="AJ388" s="239"/>
      <c r="AK388" s="239"/>
      <c r="AL388" s="239"/>
      <c r="AM388" s="4"/>
      <c r="AN388" s="4"/>
    </row>
    <row r="389" ht="15.75" customHeight="1">
      <c r="A389" s="4"/>
      <c r="B389" s="4"/>
      <c r="C389" s="12"/>
      <c r="D389" s="4"/>
      <c r="E389" s="4"/>
      <c r="F389" s="4"/>
      <c r="G389" s="4"/>
      <c r="H389" s="4"/>
      <c r="I389" s="237"/>
      <c r="J389" s="238"/>
      <c r="K389" s="238"/>
      <c r="L389" s="239"/>
      <c r="M389" s="239"/>
      <c r="N389" s="239"/>
      <c r="O389" s="240"/>
      <c r="P389" s="238"/>
      <c r="Q389" s="241"/>
      <c r="R389" s="239"/>
      <c r="S389" s="239"/>
      <c r="T389" s="239"/>
      <c r="U389" s="240"/>
      <c r="V389" s="238"/>
      <c r="W389" s="242"/>
      <c r="X389" s="239"/>
      <c r="Y389" s="239"/>
      <c r="Z389" s="239"/>
      <c r="AA389" s="239"/>
      <c r="AB389" s="239"/>
      <c r="AC389" s="239"/>
      <c r="AD389" s="239"/>
      <c r="AE389" s="239"/>
      <c r="AF389" s="239"/>
      <c r="AG389" s="239"/>
      <c r="AH389" s="239"/>
      <c r="AI389" s="239"/>
      <c r="AJ389" s="239"/>
      <c r="AK389" s="239"/>
      <c r="AL389" s="239"/>
      <c r="AM389" s="4"/>
      <c r="AN389" s="4"/>
    </row>
    <row r="390" ht="15.75" customHeight="1">
      <c r="A390" s="4"/>
      <c r="B390" s="4"/>
      <c r="C390" s="12"/>
      <c r="D390" s="4"/>
      <c r="E390" s="4"/>
      <c r="F390" s="4"/>
      <c r="G390" s="4"/>
      <c r="H390" s="4"/>
      <c r="I390" s="237"/>
      <c r="J390" s="238"/>
      <c r="K390" s="238"/>
      <c r="L390" s="239"/>
      <c r="M390" s="239"/>
      <c r="N390" s="239"/>
      <c r="O390" s="240"/>
      <c r="P390" s="238"/>
      <c r="Q390" s="241"/>
      <c r="R390" s="239"/>
      <c r="S390" s="239"/>
      <c r="T390" s="239"/>
      <c r="U390" s="240"/>
      <c r="V390" s="238"/>
      <c r="W390" s="242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4"/>
      <c r="AN390" s="4"/>
    </row>
    <row r="391" ht="15.75" customHeight="1">
      <c r="A391" s="4"/>
      <c r="B391" s="4"/>
      <c r="C391" s="12"/>
      <c r="D391" s="4"/>
      <c r="E391" s="4"/>
      <c r="F391" s="4"/>
      <c r="G391" s="4"/>
      <c r="H391" s="4"/>
      <c r="I391" s="237"/>
      <c r="J391" s="238"/>
      <c r="K391" s="238"/>
      <c r="L391" s="239"/>
      <c r="M391" s="239"/>
      <c r="N391" s="239"/>
      <c r="O391" s="240"/>
      <c r="P391" s="238"/>
      <c r="Q391" s="241"/>
      <c r="R391" s="239"/>
      <c r="S391" s="239"/>
      <c r="T391" s="239"/>
      <c r="U391" s="240"/>
      <c r="V391" s="238"/>
      <c r="W391" s="242"/>
      <c r="X391" s="239"/>
      <c r="Y391" s="239"/>
      <c r="Z391" s="239"/>
      <c r="AA391" s="239"/>
      <c r="AB391" s="239"/>
      <c r="AC391" s="239"/>
      <c r="AD391" s="239"/>
      <c r="AE391" s="239"/>
      <c r="AF391" s="239"/>
      <c r="AG391" s="239"/>
      <c r="AH391" s="239"/>
      <c r="AI391" s="239"/>
      <c r="AJ391" s="239"/>
      <c r="AK391" s="239"/>
      <c r="AL391" s="239"/>
      <c r="AM391" s="4"/>
      <c r="AN391" s="4"/>
    </row>
    <row r="392" ht="15.75" customHeight="1">
      <c r="A392" s="4"/>
      <c r="B392" s="4"/>
      <c r="C392" s="12"/>
      <c r="D392" s="4"/>
      <c r="E392" s="4"/>
      <c r="F392" s="4"/>
      <c r="G392" s="4"/>
      <c r="H392" s="4"/>
      <c r="I392" s="237"/>
      <c r="J392" s="238"/>
      <c r="K392" s="238"/>
      <c r="L392" s="239"/>
      <c r="M392" s="239"/>
      <c r="N392" s="239"/>
      <c r="O392" s="240"/>
      <c r="P392" s="238"/>
      <c r="Q392" s="241"/>
      <c r="R392" s="239"/>
      <c r="S392" s="239"/>
      <c r="T392" s="239"/>
      <c r="U392" s="240"/>
      <c r="V392" s="238"/>
      <c r="W392" s="242"/>
      <c r="X392" s="239"/>
      <c r="Y392" s="239"/>
      <c r="Z392" s="239"/>
      <c r="AA392" s="239"/>
      <c r="AB392" s="239"/>
      <c r="AC392" s="239"/>
      <c r="AD392" s="239"/>
      <c r="AE392" s="239"/>
      <c r="AF392" s="239"/>
      <c r="AG392" s="239"/>
      <c r="AH392" s="239"/>
      <c r="AI392" s="239"/>
      <c r="AJ392" s="239"/>
      <c r="AK392" s="239"/>
      <c r="AL392" s="239"/>
      <c r="AM392" s="4"/>
      <c r="AN392" s="4"/>
    </row>
    <row r="393" ht="15.75" customHeight="1">
      <c r="A393" s="4"/>
      <c r="B393" s="4"/>
      <c r="C393" s="12"/>
      <c r="D393" s="4"/>
      <c r="E393" s="4"/>
      <c r="F393" s="4"/>
      <c r="G393" s="4"/>
      <c r="H393" s="4"/>
      <c r="I393" s="237"/>
      <c r="J393" s="238"/>
      <c r="K393" s="238"/>
      <c r="L393" s="239"/>
      <c r="M393" s="239"/>
      <c r="N393" s="239"/>
      <c r="O393" s="240"/>
      <c r="P393" s="238"/>
      <c r="Q393" s="241"/>
      <c r="R393" s="239"/>
      <c r="S393" s="239"/>
      <c r="T393" s="239"/>
      <c r="U393" s="240"/>
      <c r="V393" s="238"/>
      <c r="W393" s="242"/>
      <c r="X393" s="239"/>
      <c r="Y393" s="239"/>
      <c r="Z393" s="239"/>
      <c r="AA393" s="239"/>
      <c r="AB393" s="239"/>
      <c r="AC393" s="239"/>
      <c r="AD393" s="239"/>
      <c r="AE393" s="239"/>
      <c r="AF393" s="239"/>
      <c r="AG393" s="239"/>
      <c r="AH393" s="239"/>
      <c r="AI393" s="239"/>
      <c r="AJ393" s="239"/>
      <c r="AK393" s="239"/>
      <c r="AL393" s="239"/>
      <c r="AM393" s="4"/>
      <c r="AN393" s="4"/>
    </row>
    <row r="394" ht="15.75" customHeight="1">
      <c r="A394" s="4"/>
      <c r="B394" s="4"/>
      <c r="C394" s="12"/>
      <c r="D394" s="4"/>
      <c r="E394" s="4"/>
      <c r="F394" s="4"/>
      <c r="G394" s="4"/>
      <c r="H394" s="4"/>
      <c r="I394" s="237"/>
      <c r="J394" s="238"/>
      <c r="K394" s="238"/>
      <c r="L394" s="239"/>
      <c r="M394" s="239"/>
      <c r="N394" s="239"/>
      <c r="O394" s="240"/>
      <c r="P394" s="238"/>
      <c r="Q394" s="241"/>
      <c r="R394" s="239"/>
      <c r="S394" s="239"/>
      <c r="T394" s="239"/>
      <c r="U394" s="240"/>
      <c r="V394" s="238"/>
      <c r="W394" s="242"/>
      <c r="X394" s="239"/>
      <c r="Y394" s="239"/>
      <c r="Z394" s="239"/>
      <c r="AA394" s="239"/>
      <c r="AB394" s="239"/>
      <c r="AC394" s="239"/>
      <c r="AD394" s="239"/>
      <c r="AE394" s="239"/>
      <c r="AF394" s="239"/>
      <c r="AG394" s="239"/>
      <c r="AH394" s="239"/>
      <c r="AI394" s="239"/>
      <c r="AJ394" s="239"/>
      <c r="AK394" s="239"/>
      <c r="AL394" s="239"/>
      <c r="AM394" s="4"/>
      <c r="AN394" s="4"/>
    </row>
    <row r="395" ht="15.75" customHeight="1">
      <c r="A395" s="4"/>
      <c r="B395" s="4"/>
      <c r="C395" s="12"/>
      <c r="D395" s="4"/>
      <c r="E395" s="4"/>
      <c r="F395" s="4"/>
      <c r="G395" s="4"/>
      <c r="H395" s="4"/>
      <c r="I395" s="237"/>
      <c r="J395" s="238"/>
      <c r="K395" s="238"/>
      <c r="L395" s="239"/>
      <c r="M395" s="239"/>
      <c r="N395" s="239"/>
      <c r="O395" s="240"/>
      <c r="P395" s="238"/>
      <c r="Q395" s="241"/>
      <c r="R395" s="239"/>
      <c r="S395" s="239"/>
      <c r="T395" s="239"/>
      <c r="U395" s="240"/>
      <c r="V395" s="238"/>
      <c r="W395" s="242"/>
      <c r="X395" s="239"/>
      <c r="Y395" s="239"/>
      <c r="Z395" s="239"/>
      <c r="AA395" s="239"/>
      <c r="AB395" s="239"/>
      <c r="AC395" s="239"/>
      <c r="AD395" s="239"/>
      <c r="AE395" s="239"/>
      <c r="AF395" s="239"/>
      <c r="AG395" s="239"/>
      <c r="AH395" s="239"/>
      <c r="AI395" s="239"/>
      <c r="AJ395" s="239"/>
      <c r="AK395" s="239"/>
      <c r="AL395" s="239"/>
      <c r="AM395" s="4"/>
      <c r="AN395" s="4"/>
    </row>
    <row r="396" ht="15.75" customHeight="1">
      <c r="A396" s="4"/>
      <c r="B396" s="4"/>
      <c r="C396" s="12"/>
      <c r="D396" s="4"/>
      <c r="E396" s="4"/>
      <c r="F396" s="4"/>
      <c r="G396" s="4"/>
      <c r="H396" s="4"/>
      <c r="I396" s="237"/>
      <c r="J396" s="238"/>
      <c r="K396" s="238"/>
      <c r="L396" s="239"/>
      <c r="M396" s="239"/>
      <c r="N396" s="239"/>
      <c r="O396" s="240"/>
      <c r="P396" s="238"/>
      <c r="Q396" s="241"/>
      <c r="R396" s="239"/>
      <c r="S396" s="239"/>
      <c r="T396" s="239"/>
      <c r="U396" s="240"/>
      <c r="V396" s="238"/>
      <c r="W396" s="242"/>
      <c r="X396" s="239"/>
      <c r="Y396" s="239"/>
      <c r="Z396" s="239"/>
      <c r="AA396" s="239"/>
      <c r="AB396" s="239"/>
      <c r="AC396" s="239"/>
      <c r="AD396" s="239"/>
      <c r="AE396" s="239"/>
      <c r="AF396" s="239"/>
      <c r="AG396" s="239"/>
      <c r="AH396" s="239"/>
      <c r="AI396" s="239"/>
      <c r="AJ396" s="239"/>
      <c r="AK396" s="239"/>
      <c r="AL396" s="239"/>
      <c r="AM396" s="4"/>
      <c r="AN396" s="4"/>
    </row>
    <row r="397" ht="15.75" customHeight="1">
      <c r="A397" s="4"/>
      <c r="B397" s="4"/>
      <c r="C397" s="12"/>
      <c r="D397" s="4"/>
      <c r="E397" s="4"/>
      <c r="F397" s="4"/>
      <c r="G397" s="4"/>
      <c r="H397" s="4"/>
      <c r="I397" s="237"/>
      <c r="J397" s="238"/>
      <c r="K397" s="238"/>
      <c r="L397" s="239"/>
      <c r="M397" s="239"/>
      <c r="N397" s="239"/>
      <c r="O397" s="240"/>
      <c r="P397" s="238"/>
      <c r="Q397" s="241"/>
      <c r="R397" s="239"/>
      <c r="S397" s="239"/>
      <c r="T397" s="239"/>
      <c r="U397" s="240"/>
      <c r="V397" s="238"/>
      <c r="W397" s="242"/>
      <c r="X397" s="239"/>
      <c r="Y397" s="239"/>
      <c r="Z397" s="239"/>
      <c r="AA397" s="239"/>
      <c r="AB397" s="239"/>
      <c r="AC397" s="239"/>
      <c r="AD397" s="239"/>
      <c r="AE397" s="239"/>
      <c r="AF397" s="239"/>
      <c r="AG397" s="239"/>
      <c r="AH397" s="239"/>
      <c r="AI397" s="239"/>
      <c r="AJ397" s="239"/>
      <c r="AK397" s="239"/>
      <c r="AL397" s="239"/>
      <c r="AM397" s="4"/>
      <c r="AN397" s="4"/>
    </row>
    <row r="398" ht="15.75" customHeight="1">
      <c r="A398" s="4"/>
      <c r="B398" s="4"/>
      <c r="C398" s="12"/>
      <c r="D398" s="4"/>
      <c r="E398" s="4"/>
      <c r="F398" s="4"/>
      <c r="G398" s="4"/>
      <c r="H398" s="4"/>
      <c r="I398" s="237"/>
      <c r="J398" s="238"/>
      <c r="K398" s="238"/>
      <c r="L398" s="239"/>
      <c r="M398" s="239"/>
      <c r="N398" s="239"/>
      <c r="O398" s="240"/>
      <c r="P398" s="238"/>
      <c r="Q398" s="241"/>
      <c r="R398" s="239"/>
      <c r="S398" s="239"/>
      <c r="T398" s="239"/>
      <c r="U398" s="240"/>
      <c r="V398" s="238"/>
      <c r="W398" s="242"/>
      <c r="X398" s="239"/>
      <c r="Y398" s="239"/>
      <c r="Z398" s="239"/>
      <c r="AA398" s="239"/>
      <c r="AB398" s="239"/>
      <c r="AC398" s="239"/>
      <c r="AD398" s="239"/>
      <c r="AE398" s="239"/>
      <c r="AF398" s="239"/>
      <c r="AG398" s="239"/>
      <c r="AH398" s="239"/>
      <c r="AI398" s="239"/>
      <c r="AJ398" s="239"/>
      <c r="AK398" s="239"/>
      <c r="AL398" s="239"/>
      <c r="AM398" s="4"/>
      <c r="AN398" s="4"/>
    </row>
    <row r="399" ht="15.75" customHeight="1">
      <c r="A399" s="4"/>
      <c r="B399" s="4"/>
      <c r="C399" s="12"/>
      <c r="D399" s="4"/>
      <c r="E399" s="4"/>
      <c r="F399" s="4"/>
      <c r="G399" s="4"/>
      <c r="H399" s="4"/>
      <c r="I399" s="237"/>
      <c r="J399" s="238"/>
      <c r="K399" s="238"/>
      <c r="L399" s="239"/>
      <c r="M399" s="239"/>
      <c r="N399" s="239"/>
      <c r="O399" s="240"/>
      <c r="P399" s="238"/>
      <c r="Q399" s="241"/>
      <c r="R399" s="239"/>
      <c r="S399" s="239"/>
      <c r="T399" s="239"/>
      <c r="U399" s="240"/>
      <c r="V399" s="238"/>
      <c r="W399" s="242"/>
      <c r="X399" s="239"/>
      <c r="Y399" s="239"/>
      <c r="Z399" s="239"/>
      <c r="AA399" s="239"/>
      <c r="AB399" s="239"/>
      <c r="AC399" s="239"/>
      <c r="AD399" s="239"/>
      <c r="AE399" s="239"/>
      <c r="AF399" s="239"/>
      <c r="AG399" s="239"/>
      <c r="AH399" s="239"/>
      <c r="AI399" s="239"/>
      <c r="AJ399" s="239"/>
      <c r="AK399" s="239"/>
      <c r="AL399" s="239"/>
      <c r="AM399" s="4"/>
      <c r="AN399" s="4"/>
    </row>
    <row r="400" ht="15.75" customHeight="1">
      <c r="A400" s="4"/>
      <c r="B400" s="4"/>
      <c r="C400" s="12"/>
      <c r="D400" s="4"/>
      <c r="E400" s="4"/>
      <c r="F400" s="4"/>
      <c r="G400" s="4"/>
      <c r="H400" s="4"/>
      <c r="I400" s="237"/>
      <c r="J400" s="238"/>
      <c r="K400" s="238"/>
      <c r="L400" s="239"/>
      <c r="M400" s="239"/>
      <c r="N400" s="239"/>
      <c r="O400" s="240"/>
      <c r="P400" s="238"/>
      <c r="Q400" s="241"/>
      <c r="R400" s="239"/>
      <c r="S400" s="239"/>
      <c r="T400" s="239"/>
      <c r="U400" s="240"/>
      <c r="V400" s="238"/>
      <c r="W400" s="242"/>
      <c r="X400" s="239"/>
      <c r="Y400" s="239"/>
      <c r="Z400" s="239"/>
      <c r="AA400" s="239"/>
      <c r="AB400" s="239"/>
      <c r="AC400" s="239"/>
      <c r="AD400" s="239"/>
      <c r="AE400" s="239"/>
      <c r="AF400" s="239"/>
      <c r="AG400" s="239"/>
      <c r="AH400" s="239"/>
      <c r="AI400" s="239"/>
      <c r="AJ400" s="239"/>
      <c r="AK400" s="239"/>
      <c r="AL400" s="239"/>
      <c r="AM400" s="4"/>
      <c r="AN400" s="4"/>
    </row>
    <row r="401" ht="15.75" customHeight="1">
      <c r="A401" s="4"/>
      <c r="B401" s="4"/>
      <c r="C401" s="12"/>
      <c r="D401" s="4"/>
      <c r="E401" s="4"/>
      <c r="F401" s="4"/>
      <c r="G401" s="4"/>
      <c r="H401" s="4"/>
      <c r="I401" s="237"/>
      <c r="J401" s="238"/>
      <c r="K401" s="238"/>
      <c r="L401" s="239"/>
      <c r="M401" s="239"/>
      <c r="N401" s="239"/>
      <c r="O401" s="240"/>
      <c r="P401" s="238"/>
      <c r="Q401" s="241"/>
      <c r="R401" s="239"/>
      <c r="S401" s="239"/>
      <c r="T401" s="239"/>
      <c r="U401" s="240"/>
      <c r="V401" s="238"/>
      <c r="W401" s="242"/>
      <c r="X401" s="239"/>
      <c r="Y401" s="239"/>
      <c r="Z401" s="239"/>
      <c r="AA401" s="239"/>
      <c r="AB401" s="239"/>
      <c r="AC401" s="239"/>
      <c r="AD401" s="239"/>
      <c r="AE401" s="239"/>
      <c r="AF401" s="239"/>
      <c r="AG401" s="239"/>
      <c r="AH401" s="239"/>
      <c r="AI401" s="239"/>
      <c r="AJ401" s="239"/>
      <c r="AK401" s="239"/>
      <c r="AL401" s="239"/>
      <c r="AM401" s="4"/>
      <c r="AN401" s="4"/>
    </row>
    <row r="402" ht="15.75" customHeight="1">
      <c r="A402" s="4"/>
      <c r="B402" s="4"/>
      <c r="C402" s="12"/>
      <c r="D402" s="4"/>
      <c r="E402" s="4"/>
      <c r="F402" s="4"/>
      <c r="G402" s="4"/>
      <c r="H402" s="4"/>
      <c r="I402" s="237"/>
      <c r="J402" s="238"/>
      <c r="K402" s="238"/>
      <c r="L402" s="239"/>
      <c r="M402" s="239"/>
      <c r="N402" s="239"/>
      <c r="O402" s="240"/>
      <c r="P402" s="238"/>
      <c r="Q402" s="241"/>
      <c r="R402" s="239"/>
      <c r="S402" s="239"/>
      <c r="T402" s="239"/>
      <c r="U402" s="240"/>
      <c r="V402" s="238"/>
      <c r="W402" s="242"/>
      <c r="X402" s="239"/>
      <c r="Y402" s="239"/>
      <c r="Z402" s="239"/>
      <c r="AA402" s="239"/>
      <c r="AB402" s="239"/>
      <c r="AC402" s="239"/>
      <c r="AD402" s="239"/>
      <c r="AE402" s="239"/>
      <c r="AF402" s="239"/>
      <c r="AG402" s="239"/>
      <c r="AH402" s="239"/>
      <c r="AI402" s="239"/>
      <c r="AJ402" s="239"/>
      <c r="AK402" s="239"/>
      <c r="AL402" s="239"/>
      <c r="AM402" s="4"/>
      <c r="AN402" s="4"/>
    </row>
    <row r="403" ht="15.75" customHeight="1">
      <c r="A403" s="4"/>
      <c r="B403" s="4"/>
      <c r="C403" s="12"/>
      <c r="D403" s="4"/>
      <c r="E403" s="4"/>
      <c r="F403" s="4"/>
      <c r="G403" s="4"/>
      <c r="H403" s="4"/>
      <c r="I403" s="237"/>
      <c r="J403" s="238"/>
      <c r="K403" s="238"/>
      <c r="L403" s="239"/>
      <c r="M403" s="239"/>
      <c r="N403" s="239"/>
      <c r="O403" s="240"/>
      <c r="P403" s="238"/>
      <c r="Q403" s="241"/>
      <c r="R403" s="239"/>
      <c r="S403" s="239"/>
      <c r="T403" s="239"/>
      <c r="U403" s="240"/>
      <c r="V403" s="238"/>
      <c r="W403" s="242"/>
      <c r="X403" s="239"/>
      <c r="Y403" s="239"/>
      <c r="Z403" s="239"/>
      <c r="AA403" s="239"/>
      <c r="AB403" s="239"/>
      <c r="AC403" s="239"/>
      <c r="AD403" s="239"/>
      <c r="AE403" s="239"/>
      <c r="AF403" s="239"/>
      <c r="AG403" s="239"/>
      <c r="AH403" s="239"/>
      <c r="AI403" s="239"/>
      <c r="AJ403" s="239"/>
      <c r="AK403" s="239"/>
      <c r="AL403" s="239"/>
      <c r="AM403" s="4"/>
      <c r="AN403" s="4"/>
    </row>
    <row r="404" ht="15.75" customHeight="1">
      <c r="A404" s="4"/>
      <c r="B404" s="4"/>
      <c r="C404" s="12"/>
      <c r="D404" s="4"/>
      <c r="E404" s="4"/>
      <c r="F404" s="4"/>
      <c r="G404" s="4"/>
      <c r="H404" s="4"/>
      <c r="I404" s="237"/>
      <c r="J404" s="238"/>
      <c r="K404" s="238"/>
      <c r="L404" s="239"/>
      <c r="M404" s="239"/>
      <c r="N404" s="239"/>
      <c r="O404" s="240"/>
      <c r="P404" s="238"/>
      <c r="Q404" s="241"/>
      <c r="R404" s="239"/>
      <c r="S404" s="239"/>
      <c r="T404" s="239"/>
      <c r="U404" s="240"/>
      <c r="V404" s="238"/>
      <c r="W404" s="242"/>
      <c r="X404" s="239"/>
      <c r="Y404" s="239"/>
      <c r="Z404" s="239"/>
      <c r="AA404" s="239"/>
      <c r="AB404" s="239"/>
      <c r="AC404" s="239"/>
      <c r="AD404" s="239"/>
      <c r="AE404" s="239"/>
      <c r="AF404" s="239"/>
      <c r="AG404" s="239"/>
      <c r="AH404" s="239"/>
      <c r="AI404" s="239"/>
      <c r="AJ404" s="239"/>
      <c r="AK404" s="239"/>
      <c r="AL404" s="239"/>
      <c r="AM404" s="4"/>
      <c r="AN404" s="4"/>
    </row>
    <row r="405" ht="15.75" customHeight="1">
      <c r="A405" s="4"/>
      <c r="B405" s="4"/>
      <c r="C405" s="12"/>
      <c r="D405" s="4"/>
      <c r="E405" s="4"/>
      <c r="F405" s="4"/>
      <c r="G405" s="4"/>
      <c r="H405" s="4"/>
      <c r="I405" s="237"/>
      <c r="J405" s="238"/>
      <c r="K405" s="238"/>
      <c r="L405" s="239"/>
      <c r="M405" s="239"/>
      <c r="N405" s="239"/>
      <c r="O405" s="240"/>
      <c r="P405" s="238"/>
      <c r="Q405" s="241"/>
      <c r="R405" s="239"/>
      <c r="S405" s="239"/>
      <c r="T405" s="239"/>
      <c r="U405" s="240"/>
      <c r="V405" s="238"/>
      <c r="W405" s="242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4"/>
      <c r="AN405" s="4"/>
    </row>
    <row r="406" ht="15.75" customHeight="1">
      <c r="A406" s="4"/>
      <c r="B406" s="4"/>
      <c r="C406" s="12"/>
      <c r="D406" s="4"/>
      <c r="E406" s="4"/>
      <c r="F406" s="4"/>
      <c r="G406" s="4"/>
      <c r="H406" s="4"/>
      <c r="I406" s="237"/>
      <c r="J406" s="238"/>
      <c r="K406" s="238"/>
      <c r="L406" s="239"/>
      <c r="M406" s="239"/>
      <c r="N406" s="239"/>
      <c r="O406" s="240"/>
      <c r="P406" s="238"/>
      <c r="Q406" s="241"/>
      <c r="R406" s="239"/>
      <c r="S406" s="239"/>
      <c r="T406" s="239"/>
      <c r="U406" s="240"/>
      <c r="V406" s="238"/>
      <c r="W406" s="242"/>
      <c r="X406" s="239"/>
      <c r="Y406" s="239"/>
      <c r="Z406" s="239"/>
      <c r="AA406" s="239"/>
      <c r="AB406" s="239"/>
      <c r="AC406" s="239"/>
      <c r="AD406" s="239"/>
      <c r="AE406" s="239"/>
      <c r="AF406" s="239"/>
      <c r="AG406" s="239"/>
      <c r="AH406" s="239"/>
      <c r="AI406" s="239"/>
      <c r="AJ406" s="239"/>
      <c r="AK406" s="239"/>
      <c r="AL406" s="239"/>
      <c r="AM406" s="4"/>
      <c r="AN406" s="4"/>
    </row>
    <row r="407" ht="15.75" customHeight="1">
      <c r="A407" s="4"/>
      <c r="B407" s="4"/>
      <c r="C407" s="12"/>
      <c r="D407" s="4"/>
      <c r="E407" s="4"/>
      <c r="F407" s="4"/>
      <c r="G407" s="4"/>
      <c r="H407" s="4"/>
      <c r="I407" s="237"/>
      <c r="J407" s="238"/>
      <c r="K407" s="238"/>
      <c r="L407" s="239"/>
      <c r="M407" s="239"/>
      <c r="N407" s="239"/>
      <c r="O407" s="240"/>
      <c r="P407" s="238"/>
      <c r="Q407" s="241"/>
      <c r="R407" s="239"/>
      <c r="S407" s="239"/>
      <c r="T407" s="239"/>
      <c r="U407" s="240"/>
      <c r="V407" s="238"/>
      <c r="W407" s="242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4"/>
      <c r="AN407" s="4"/>
    </row>
    <row r="408" ht="15.75" customHeight="1">
      <c r="A408" s="4"/>
      <c r="B408" s="4"/>
      <c r="C408" s="12"/>
      <c r="D408" s="4"/>
      <c r="E408" s="4"/>
      <c r="F408" s="4"/>
      <c r="G408" s="4"/>
      <c r="H408" s="4"/>
      <c r="I408" s="237"/>
      <c r="J408" s="238"/>
      <c r="K408" s="238"/>
      <c r="L408" s="239"/>
      <c r="M408" s="239"/>
      <c r="N408" s="239"/>
      <c r="O408" s="240"/>
      <c r="P408" s="238"/>
      <c r="Q408" s="241"/>
      <c r="R408" s="239"/>
      <c r="S408" s="239"/>
      <c r="T408" s="239"/>
      <c r="U408" s="240"/>
      <c r="V408" s="238"/>
      <c r="W408" s="242"/>
      <c r="X408" s="239"/>
      <c r="Y408" s="239"/>
      <c r="Z408" s="239"/>
      <c r="AA408" s="239"/>
      <c r="AB408" s="239"/>
      <c r="AC408" s="239"/>
      <c r="AD408" s="239"/>
      <c r="AE408" s="239"/>
      <c r="AF408" s="239"/>
      <c r="AG408" s="239"/>
      <c r="AH408" s="239"/>
      <c r="AI408" s="239"/>
      <c r="AJ408" s="239"/>
      <c r="AK408" s="239"/>
      <c r="AL408" s="239"/>
      <c r="AM408" s="4"/>
      <c r="AN408" s="4"/>
    </row>
    <row r="409" ht="15.75" customHeight="1">
      <c r="A409" s="4"/>
      <c r="B409" s="4"/>
      <c r="C409" s="12"/>
      <c r="D409" s="4"/>
      <c r="E409" s="4"/>
      <c r="F409" s="4"/>
      <c r="G409" s="4"/>
      <c r="H409" s="4"/>
      <c r="I409" s="237"/>
      <c r="J409" s="238"/>
      <c r="K409" s="238"/>
      <c r="L409" s="239"/>
      <c r="M409" s="239"/>
      <c r="N409" s="239"/>
      <c r="O409" s="240"/>
      <c r="P409" s="238"/>
      <c r="Q409" s="241"/>
      <c r="R409" s="239"/>
      <c r="S409" s="239"/>
      <c r="T409" s="239"/>
      <c r="U409" s="240"/>
      <c r="V409" s="238"/>
      <c r="W409" s="242"/>
      <c r="X409" s="239"/>
      <c r="Y409" s="239"/>
      <c r="Z409" s="239"/>
      <c r="AA409" s="239"/>
      <c r="AB409" s="239"/>
      <c r="AC409" s="239"/>
      <c r="AD409" s="239"/>
      <c r="AE409" s="239"/>
      <c r="AF409" s="239"/>
      <c r="AG409" s="239"/>
      <c r="AH409" s="239"/>
      <c r="AI409" s="239"/>
      <c r="AJ409" s="239"/>
      <c r="AK409" s="239"/>
      <c r="AL409" s="239"/>
      <c r="AM409" s="4"/>
      <c r="AN409" s="4"/>
    </row>
    <row r="410" ht="15.75" customHeight="1">
      <c r="A410" s="4"/>
      <c r="B410" s="4"/>
      <c r="C410" s="12"/>
      <c r="D410" s="4"/>
      <c r="E410" s="4"/>
      <c r="F410" s="4"/>
      <c r="G410" s="4"/>
      <c r="H410" s="4"/>
      <c r="I410" s="237"/>
      <c r="J410" s="238"/>
      <c r="K410" s="238"/>
      <c r="L410" s="239"/>
      <c r="M410" s="239"/>
      <c r="N410" s="239"/>
      <c r="O410" s="240"/>
      <c r="P410" s="238"/>
      <c r="Q410" s="241"/>
      <c r="R410" s="239"/>
      <c r="S410" s="239"/>
      <c r="T410" s="239"/>
      <c r="U410" s="240"/>
      <c r="V410" s="238"/>
      <c r="W410" s="242"/>
      <c r="X410" s="239"/>
      <c r="Y410" s="239"/>
      <c r="Z410" s="239"/>
      <c r="AA410" s="239"/>
      <c r="AB410" s="239"/>
      <c r="AC410" s="239"/>
      <c r="AD410" s="239"/>
      <c r="AE410" s="239"/>
      <c r="AF410" s="239"/>
      <c r="AG410" s="239"/>
      <c r="AH410" s="239"/>
      <c r="AI410" s="239"/>
      <c r="AJ410" s="239"/>
      <c r="AK410" s="239"/>
      <c r="AL410" s="239"/>
      <c r="AM410" s="4"/>
      <c r="AN410" s="4"/>
    </row>
    <row r="411" ht="15.75" customHeight="1">
      <c r="A411" s="4"/>
      <c r="B411" s="4"/>
      <c r="C411" s="12"/>
      <c r="D411" s="4"/>
      <c r="E411" s="4"/>
      <c r="F411" s="4"/>
      <c r="G411" s="4"/>
      <c r="H411" s="4"/>
      <c r="I411" s="237"/>
      <c r="J411" s="238"/>
      <c r="K411" s="238"/>
      <c r="L411" s="239"/>
      <c r="M411" s="239"/>
      <c r="N411" s="239"/>
      <c r="O411" s="240"/>
      <c r="P411" s="238"/>
      <c r="Q411" s="241"/>
      <c r="R411" s="239"/>
      <c r="S411" s="239"/>
      <c r="T411" s="239"/>
      <c r="U411" s="240"/>
      <c r="V411" s="238"/>
      <c r="W411" s="242"/>
      <c r="X411" s="239"/>
      <c r="Y411" s="239"/>
      <c r="Z411" s="239"/>
      <c r="AA411" s="239"/>
      <c r="AB411" s="239"/>
      <c r="AC411" s="239"/>
      <c r="AD411" s="239"/>
      <c r="AE411" s="239"/>
      <c r="AF411" s="239"/>
      <c r="AG411" s="239"/>
      <c r="AH411" s="239"/>
      <c r="AI411" s="239"/>
      <c r="AJ411" s="239"/>
      <c r="AK411" s="239"/>
      <c r="AL411" s="239"/>
      <c r="AM411" s="4"/>
      <c r="AN411" s="4"/>
    </row>
    <row r="412" ht="15.75" customHeight="1">
      <c r="A412" s="4"/>
      <c r="B412" s="4"/>
      <c r="C412" s="12"/>
      <c r="D412" s="4"/>
      <c r="E412" s="4"/>
      <c r="F412" s="4"/>
      <c r="G412" s="4"/>
      <c r="H412" s="4"/>
      <c r="I412" s="237"/>
      <c r="J412" s="238"/>
      <c r="K412" s="238"/>
      <c r="L412" s="239"/>
      <c r="M412" s="239"/>
      <c r="N412" s="239"/>
      <c r="O412" s="240"/>
      <c r="P412" s="238"/>
      <c r="Q412" s="241"/>
      <c r="R412" s="239"/>
      <c r="S412" s="239"/>
      <c r="T412" s="239"/>
      <c r="U412" s="240"/>
      <c r="V412" s="238"/>
      <c r="W412" s="242"/>
      <c r="X412" s="239"/>
      <c r="Y412" s="239"/>
      <c r="Z412" s="239"/>
      <c r="AA412" s="239"/>
      <c r="AB412" s="239"/>
      <c r="AC412" s="239"/>
      <c r="AD412" s="239"/>
      <c r="AE412" s="239"/>
      <c r="AF412" s="239"/>
      <c r="AG412" s="239"/>
      <c r="AH412" s="239"/>
      <c r="AI412" s="239"/>
      <c r="AJ412" s="239"/>
      <c r="AK412" s="239"/>
      <c r="AL412" s="239"/>
      <c r="AM412" s="4"/>
      <c r="AN412" s="4"/>
    </row>
    <row r="413" ht="15.75" customHeight="1">
      <c r="A413" s="4"/>
      <c r="B413" s="4"/>
      <c r="C413" s="12"/>
      <c r="D413" s="4"/>
      <c r="E413" s="4"/>
      <c r="F413" s="4"/>
      <c r="G413" s="4"/>
      <c r="H413" s="4"/>
      <c r="I413" s="237"/>
      <c r="J413" s="238"/>
      <c r="K413" s="238"/>
      <c r="L413" s="239"/>
      <c r="M413" s="239"/>
      <c r="N413" s="239"/>
      <c r="O413" s="240"/>
      <c r="P413" s="238"/>
      <c r="Q413" s="241"/>
      <c r="R413" s="239"/>
      <c r="S413" s="239"/>
      <c r="T413" s="239"/>
      <c r="U413" s="240"/>
      <c r="V413" s="238"/>
      <c r="W413" s="242"/>
      <c r="X413" s="239"/>
      <c r="Y413" s="239"/>
      <c r="Z413" s="239"/>
      <c r="AA413" s="239"/>
      <c r="AB413" s="239"/>
      <c r="AC413" s="239"/>
      <c r="AD413" s="239"/>
      <c r="AE413" s="239"/>
      <c r="AF413" s="239"/>
      <c r="AG413" s="239"/>
      <c r="AH413" s="239"/>
      <c r="AI413" s="239"/>
      <c r="AJ413" s="239"/>
      <c r="AK413" s="239"/>
      <c r="AL413" s="239"/>
      <c r="AM413" s="4"/>
      <c r="AN413" s="4"/>
    </row>
    <row r="414" ht="15.75" customHeight="1">
      <c r="A414" s="4"/>
      <c r="B414" s="4"/>
      <c r="C414" s="12"/>
      <c r="D414" s="4"/>
      <c r="E414" s="4"/>
      <c r="F414" s="4"/>
      <c r="G414" s="4"/>
      <c r="H414" s="4"/>
      <c r="I414" s="237"/>
      <c r="J414" s="238"/>
      <c r="K414" s="238"/>
      <c r="L414" s="239"/>
      <c r="M414" s="239"/>
      <c r="N414" s="239"/>
      <c r="O414" s="240"/>
      <c r="P414" s="238"/>
      <c r="Q414" s="241"/>
      <c r="R414" s="239"/>
      <c r="S414" s="239"/>
      <c r="T414" s="239"/>
      <c r="U414" s="240"/>
      <c r="V414" s="238"/>
      <c r="W414" s="242"/>
      <c r="X414" s="239"/>
      <c r="Y414" s="239"/>
      <c r="Z414" s="239"/>
      <c r="AA414" s="239"/>
      <c r="AB414" s="239"/>
      <c r="AC414" s="239"/>
      <c r="AD414" s="239"/>
      <c r="AE414" s="239"/>
      <c r="AF414" s="239"/>
      <c r="AG414" s="239"/>
      <c r="AH414" s="239"/>
      <c r="AI414" s="239"/>
      <c r="AJ414" s="239"/>
      <c r="AK414" s="239"/>
      <c r="AL414" s="239"/>
      <c r="AM414" s="4"/>
      <c r="AN414" s="4"/>
    </row>
    <row r="415" ht="15.75" customHeight="1">
      <c r="A415" s="4"/>
      <c r="B415" s="4"/>
      <c r="C415" s="12"/>
      <c r="D415" s="4"/>
      <c r="E415" s="4"/>
      <c r="F415" s="4"/>
      <c r="G415" s="4"/>
      <c r="H415" s="4"/>
      <c r="I415" s="237"/>
      <c r="J415" s="238"/>
      <c r="K415" s="238"/>
      <c r="L415" s="239"/>
      <c r="M415" s="239"/>
      <c r="N415" s="239"/>
      <c r="O415" s="240"/>
      <c r="P415" s="238"/>
      <c r="Q415" s="241"/>
      <c r="R415" s="239"/>
      <c r="S415" s="239"/>
      <c r="T415" s="239"/>
      <c r="U415" s="240"/>
      <c r="V415" s="238"/>
      <c r="W415" s="242"/>
      <c r="X415" s="239"/>
      <c r="Y415" s="239"/>
      <c r="Z415" s="239"/>
      <c r="AA415" s="239"/>
      <c r="AB415" s="239"/>
      <c r="AC415" s="239"/>
      <c r="AD415" s="239"/>
      <c r="AE415" s="239"/>
      <c r="AF415" s="239"/>
      <c r="AG415" s="239"/>
      <c r="AH415" s="239"/>
      <c r="AI415" s="239"/>
      <c r="AJ415" s="239"/>
      <c r="AK415" s="239"/>
      <c r="AL415" s="239"/>
      <c r="AM415" s="4"/>
      <c r="AN415" s="4"/>
    </row>
    <row r="416" ht="15.75" customHeight="1">
      <c r="A416" s="4"/>
      <c r="B416" s="4"/>
      <c r="C416" s="12"/>
      <c r="D416" s="4"/>
      <c r="E416" s="4"/>
      <c r="F416" s="4"/>
      <c r="G416" s="4"/>
      <c r="H416" s="4"/>
      <c r="I416" s="237"/>
      <c r="J416" s="238"/>
      <c r="K416" s="238"/>
      <c r="L416" s="239"/>
      <c r="M416" s="239"/>
      <c r="N416" s="239"/>
      <c r="O416" s="240"/>
      <c r="P416" s="238"/>
      <c r="Q416" s="241"/>
      <c r="R416" s="239"/>
      <c r="S416" s="239"/>
      <c r="T416" s="239"/>
      <c r="U416" s="240"/>
      <c r="V416" s="238"/>
      <c r="W416" s="242"/>
      <c r="X416" s="239"/>
      <c r="Y416" s="239"/>
      <c r="Z416" s="239"/>
      <c r="AA416" s="239"/>
      <c r="AB416" s="239"/>
      <c r="AC416" s="239"/>
      <c r="AD416" s="239"/>
      <c r="AE416" s="239"/>
      <c r="AF416" s="239"/>
      <c r="AG416" s="239"/>
      <c r="AH416" s="239"/>
      <c r="AI416" s="239"/>
      <c r="AJ416" s="239"/>
      <c r="AK416" s="239"/>
      <c r="AL416" s="239"/>
      <c r="AM416" s="4"/>
      <c r="AN416" s="4"/>
    </row>
    <row r="417" ht="15.75" customHeight="1">
      <c r="A417" s="4"/>
      <c r="B417" s="4"/>
      <c r="C417" s="12"/>
      <c r="D417" s="4"/>
      <c r="E417" s="4"/>
      <c r="F417" s="4"/>
      <c r="G417" s="4"/>
      <c r="H417" s="4"/>
      <c r="I417" s="237"/>
      <c r="J417" s="238"/>
      <c r="K417" s="238"/>
      <c r="L417" s="239"/>
      <c r="M417" s="239"/>
      <c r="N417" s="239"/>
      <c r="O417" s="240"/>
      <c r="P417" s="238"/>
      <c r="Q417" s="241"/>
      <c r="R417" s="239"/>
      <c r="S417" s="239"/>
      <c r="T417" s="239"/>
      <c r="U417" s="240"/>
      <c r="V417" s="238"/>
      <c r="W417" s="242"/>
      <c r="X417" s="239"/>
      <c r="Y417" s="239"/>
      <c r="Z417" s="239"/>
      <c r="AA417" s="239"/>
      <c r="AB417" s="239"/>
      <c r="AC417" s="239"/>
      <c r="AD417" s="239"/>
      <c r="AE417" s="239"/>
      <c r="AF417" s="239"/>
      <c r="AG417" s="239"/>
      <c r="AH417" s="239"/>
      <c r="AI417" s="239"/>
      <c r="AJ417" s="239"/>
      <c r="AK417" s="239"/>
      <c r="AL417" s="239"/>
      <c r="AM417" s="4"/>
      <c r="AN417" s="4"/>
    </row>
    <row r="418" ht="15.75" customHeight="1">
      <c r="A418" s="4"/>
      <c r="B418" s="4"/>
      <c r="C418" s="12"/>
      <c r="D418" s="4"/>
      <c r="E418" s="4"/>
      <c r="F418" s="4"/>
      <c r="G418" s="4"/>
      <c r="H418" s="4"/>
      <c r="I418" s="237"/>
      <c r="J418" s="238"/>
      <c r="K418" s="238"/>
      <c r="L418" s="239"/>
      <c r="M418" s="239"/>
      <c r="N418" s="239"/>
      <c r="O418" s="240"/>
      <c r="P418" s="238"/>
      <c r="Q418" s="241"/>
      <c r="R418" s="239"/>
      <c r="S418" s="239"/>
      <c r="T418" s="239"/>
      <c r="U418" s="240"/>
      <c r="V418" s="238"/>
      <c r="W418" s="242"/>
      <c r="X418" s="239"/>
      <c r="Y418" s="239"/>
      <c r="Z418" s="239"/>
      <c r="AA418" s="239"/>
      <c r="AB418" s="239"/>
      <c r="AC418" s="239"/>
      <c r="AD418" s="239"/>
      <c r="AE418" s="239"/>
      <c r="AF418" s="239"/>
      <c r="AG418" s="239"/>
      <c r="AH418" s="239"/>
      <c r="AI418" s="239"/>
      <c r="AJ418" s="239"/>
      <c r="AK418" s="239"/>
      <c r="AL418" s="239"/>
      <c r="AM418" s="4"/>
      <c r="AN418" s="4"/>
    </row>
    <row r="419" ht="15.75" customHeight="1">
      <c r="A419" s="4"/>
      <c r="B419" s="4"/>
      <c r="C419" s="12"/>
      <c r="D419" s="4"/>
      <c r="E419" s="4"/>
      <c r="F419" s="4"/>
      <c r="G419" s="4"/>
      <c r="H419" s="4"/>
      <c r="I419" s="237"/>
      <c r="J419" s="238"/>
      <c r="K419" s="238"/>
      <c r="L419" s="239"/>
      <c r="M419" s="239"/>
      <c r="N419" s="239"/>
      <c r="O419" s="240"/>
      <c r="P419" s="238"/>
      <c r="Q419" s="241"/>
      <c r="R419" s="239"/>
      <c r="S419" s="239"/>
      <c r="T419" s="239"/>
      <c r="U419" s="240"/>
      <c r="V419" s="238"/>
      <c r="W419" s="242"/>
      <c r="X419" s="239"/>
      <c r="Y419" s="239"/>
      <c r="Z419" s="239"/>
      <c r="AA419" s="239"/>
      <c r="AB419" s="239"/>
      <c r="AC419" s="239"/>
      <c r="AD419" s="239"/>
      <c r="AE419" s="239"/>
      <c r="AF419" s="239"/>
      <c r="AG419" s="239"/>
      <c r="AH419" s="239"/>
      <c r="AI419" s="239"/>
      <c r="AJ419" s="239"/>
      <c r="AK419" s="239"/>
      <c r="AL419" s="239"/>
      <c r="AM419" s="4"/>
      <c r="AN419" s="4"/>
    </row>
    <row r="420" ht="15.75" customHeight="1">
      <c r="A420" s="4"/>
      <c r="B420" s="4"/>
      <c r="C420" s="12"/>
      <c r="D420" s="4"/>
      <c r="E420" s="4"/>
      <c r="F420" s="4"/>
      <c r="G420" s="4"/>
      <c r="H420" s="4"/>
      <c r="I420" s="237"/>
      <c r="J420" s="238"/>
      <c r="K420" s="238"/>
      <c r="L420" s="239"/>
      <c r="M420" s="239"/>
      <c r="N420" s="239"/>
      <c r="O420" s="240"/>
      <c r="P420" s="238"/>
      <c r="Q420" s="241"/>
      <c r="R420" s="239"/>
      <c r="S420" s="239"/>
      <c r="T420" s="239"/>
      <c r="U420" s="240"/>
      <c r="V420" s="238"/>
      <c r="W420" s="242"/>
      <c r="X420" s="239"/>
      <c r="Y420" s="239"/>
      <c r="Z420" s="239"/>
      <c r="AA420" s="239"/>
      <c r="AB420" s="239"/>
      <c r="AC420" s="239"/>
      <c r="AD420" s="239"/>
      <c r="AE420" s="239"/>
      <c r="AF420" s="239"/>
      <c r="AG420" s="239"/>
      <c r="AH420" s="239"/>
      <c r="AI420" s="239"/>
      <c r="AJ420" s="239"/>
      <c r="AK420" s="239"/>
      <c r="AL420" s="239"/>
      <c r="AM420" s="4"/>
      <c r="AN420" s="4"/>
    </row>
    <row r="421" ht="15.75" customHeight="1">
      <c r="A421" s="4"/>
      <c r="B421" s="4"/>
      <c r="C421" s="12"/>
      <c r="D421" s="4"/>
      <c r="E421" s="4"/>
      <c r="F421" s="4"/>
      <c r="G421" s="4"/>
      <c r="H421" s="4"/>
      <c r="I421" s="237"/>
      <c r="J421" s="238"/>
      <c r="K421" s="238"/>
      <c r="L421" s="239"/>
      <c r="M421" s="239"/>
      <c r="N421" s="239"/>
      <c r="O421" s="240"/>
      <c r="P421" s="238"/>
      <c r="Q421" s="241"/>
      <c r="R421" s="239"/>
      <c r="S421" s="239"/>
      <c r="T421" s="239"/>
      <c r="U421" s="240"/>
      <c r="V421" s="238"/>
      <c r="W421" s="242"/>
      <c r="X421" s="239"/>
      <c r="Y421" s="239"/>
      <c r="Z421" s="239"/>
      <c r="AA421" s="239"/>
      <c r="AB421" s="239"/>
      <c r="AC421" s="239"/>
      <c r="AD421" s="239"/>
      <c r="AE421" s="239"/>
      <c r="AF421" s="239"/>
      <c r="AG421" s="239"/>
      <c r="AH421" s="239"/>
      <c r="AI421" s="239"/>
      <c r="AJ421" s="239"/>
      <c r="AK421" s="239"/>
      <c r="AL421" s="239"/>
      <c r="AM421" s="4"/>
      <c r="AN421" s="4"/>
    </row>
    <row r="422" ht="15.75" customHeight="1">
      <c r="A422" s="4"/>
      <c r="B422" s="4"/>
      <c r="C422" s="12"/>
      <c r="D422" s="4"/>
      <c r="E422" s="4"/>
      <c r="F422" s="4"/>
      <c r="G422" s="4"/>
      <c r="H422" s="4"/>
      <c r="I422" s="237"/>
      <c r="J422" s="238"/>
      <c r="K422" s="238"/>
      <c r="L422" s="239"/>
      <c r="M422" s="239"/>
      <c r="N422" s="239"/>
      <c r="O422" s="240"/>
      <c r="P422" s="238"/>
      <c r="Q422" s="241"/>
      <c r="R422" s="239"/>
      <c r="S422" s="239"/>
      <c r="T422" s="239"/>
      <c r="U422" s="240"/>
      <c r="V422" s="238"/>
      <c r="W422" s="242"/>
      <c r="X422" s="239"/>
      <c r="Y422" s="239"/>
      <c r="Z422" s="239"/>
      <c r="AA422" s="239"/>
      <c r="AB422" s="239"/>
      <c r="AC422" s="239"/>
      <c r="AD422" s="239"/>
      <c r="AE422" s="239"/>
      <c r="AF422" s="239"/>
      <c r="AG422" s="239"/>
      <c r="AH422" s="239"/>
      <c r="AI422" s="239"/>
      <c r="AJ422" s="239"/>
      <c r="AK422" s="239"/>
      <c r="AL422" s="239"/>
      <c r="AM422" s="4"/>
      <c r="AN422" s="4"/>
    </row>
    <row r="423" ht="15.75" customHeight="1">
      <c r="A423" s="4"/>
      <c r="B423" s="4"/>
      <c r="C423" s="12"/>
      <c r="D423" s="4"/>
      <c r="E423" s="4"/>
      <c r="F423" s="4"/>
      <c r="G423" s="4"/>
      <c r="H423" s="4"/>
      <c r="I423" s="237"/>
      <c r="J423" s="238"/>
      <c r="K423" s="238"/>
      <c r="L423" s="239"/>
      <c r="M423" s="239"/>
      <c r="N423" s="239"/>
      <c r="O423" s="240"/>
      <c r="P423" s="238"/>
      <c r="Q423" s="241"/>
      <c r="R423" s="239"/>
      <c r="S423" s="239"/>
      <c r="T423" s="239"/>
      <c r="U423" s="240"/>
      <c r="V423" s="238"/>
      <c r="W423" s="242"/>
      <c r="X423" s="239"/>
      <c r="Y423" s="239"/>
      <c r="Z423" s="239"/>
      <c r="AA423" s="239"/>
      <c r="AB423" s="239"/>
      <c r="AC423" s="239"/>
      <c r="AD423" s="239"/>
      <c r="AE423" s="239"/>
      <c r="AF423" s="239"/>
      <c r="AG423" s="239"/>
      <c r="AH423" s="239"/>
      <c r="AI423" s="239"/>
      <c r="AJ423" s="239"/>
      <c r="AK423" s="239"/>
      <c r="AL423" s="239"/>
      <c r="AM423" s="4"/>
      <c r="AN423" s="4"/>
    </row>
    <row r="424" ht="15.75" customHeight="1">
      <c r="A424" s="4"/>
      <c r="B424" s="4"/>
      <c r="C424" s="12"/>
      <c r="D424" s="4"/>
      <c r="E424" s="4"/>
      <c r="F424" s="4"/>
      <c r="G424" s="4"/>
      <c r="H424" s="4"/>
      <c r="I424" s="237"/>
      <c r="J424" s="238"/>
      <c r="K424" s="238"/>
      <c r="L424" s="239"/>
      <c r="M424" s="239"/>
      <c r="N424" s="239"/>
      <c r="O424" s="240"/>
      <c r="P424" s="238"/>
      <c r="Q424" s="241"/>
      <c r="R424" s="239"/>
      <c r="S424" s="239"/>
      <c r="T424" s="239"/>
      <c r="U424" s="240"/>
      <c r="V424" s="238"/>
      <c r="W424" s="242"/>
      <c r="X424" s="239"/>
      <c r="Y424" s="239"/>
      <c r="Z424" s="239"/>
      <c r="AA424" s="239"/>
      <c r="AB424" s="239"/>
      <c r="AC424" s="239"/>
      <c r="AD424" s="239"/>
      <c r="AE424" s="239"/>
      <c r="AF424" s="239"/>
      <c r="AG424" s="239"/>
      <c r="AH424" s="239"/>
      <c r="AI424" s="239"/>
      <c r="AJ424" s="239"/>
      <c r="AK424" s="239"/>
      <c r="AL424" s="239"/>
      <c r="AM424" s="4"/>
      <c r="AN424" s="4"/>
    </row>
    <row r="425" ht="15.75" customHeight="1">
      <c r="A425" s="4"/>
      <c r="B425" s="4"/>
      <c r="C425" s="12"/>
      <c r="D425" s="4"/>
      <c r="E425" s="4"/>
      <c r="F425" s="4"/>
      <c r="G425" s="4"/>
      <c r="H425" s="4"/>
      <c r="I425" s="237"/>
      <c r="J425" s="238"/>
      <c r="K425" s="238"/>
      <c r="L425" s="239"/>
      <c r="M425" s="239"/>
      <c r="N425" s="239"/>
      <c r="O425" s="240"/>
      <c r="P425" s="238"/>
      <c r="Q425" s="241"/>
      <c r="R425" s="239"/>
      <c r="S425" s="239"/>
      <c r="T425" s="239"/>
      <c r="U425" s="240"/>
      <c r="V425" s="238"/>
      <c r="W425" s="242"/>
      <c r="X425" s="239"/>
      <c r="Y425" s="239"/>
      <c r="Z425" s="239"/>
      <c r="AA425" s="239"/>
      <c r="AB425" s="239"/>
      <c r="AC425" s="239"/>
      <c r="AD425" s="239"/>
      <c r="AE425" s="239"/>
      <c r="AF425" s="239"/>
      <c r="AG425" s="239"/>
      <c r="AH425" s="239"/>
      <c r="AI425" s="239"/>
      <c r="AJ425" s="239"/>
      <c r="AK425" s="239"/>
      <c r="AL425" s="239"/>
      <c r="AM425" s="4"/>
      <c r="AN425" s="4"/>
    </row>
    <row r="426" ht="15.75" customHeight="1">
      <c r="A426" s="4"/>
      <c r="B426" s="4"/>
      <c r="C426" s="12"/>
      <c r="D426" s="4"/>
      <c r="E426" s="4"/>
      <c r="F426" s="4"/>
      <c r="G426" s="4"/>
      <c r="H426" s="4"/>
      <c r="I426" s="237"/>
      <c r="J426" s="238"/>
      <c r="K426" s="238"/>
      <c r="L426" s="239"/>
      <c r="M426" s="239"/>
      <c r="N426" s="239"/>
      <c r="O426" s="240"/>
      <c r="P426" s="238"/>
      <c r="Q426" s="241"/>
      <c r="R426" s="239"/>
      <c r="S426" s="239"/>
      <c r="T426" s="239"/>
      <c r="U426" s="240"/>
      <c r="V426" s="238"/>
      <c r="W426" s="242"/>
      <c r="X426" s="239"/>
      <c r="Y426" s="239"/>
      <c r="Z426" s="239"/>
      <c r="AA426" s="239"/>
      <c r="AB426" s="239"/>
      <c r="AC426" s="239"/>
      <c r="AD426" s="239"/>
      <c r="AE426" s="239"/>
      <c r="AF426" s="239"/>
      <c r="AG426" s="239"/>
      <c r="AH426" s="239"/>
      <c r="AI426" s="239"/>
      <c r="AJ426" s="239"/>
      <c r="AK426" s="239"/>
      <c r="AL426" s="239"/>
      <c r="AM426" s="4"/>
      <c r="AN426" s="4"/>
    </row>
    <row r="427" ht="15.75" customHeight="1">
      <c r="A427" s="4"/>
      <c r="B427" s="4"/>
      <c r="C427" s="12"/>
      <c r="D427" s="4"/>
      <c r="E427" s="4"/>
      <c r="F427" s="4"/>
      <c r="G427" s="4"/>
      <c r="H427" s="4"/>
      <c r="I427" s="237"/>
      <c r="J427" s="238"/>
      <c r="K427" s="238"/>
      <c r="L427" s="239"/>
      <c r="M427" s="239"/>
      <c r="N427" s="239"/>
      <c r="O427" s="240"/>
      <c r="P427" s="238"/>
      <c r="Q427" s="241"/>
      <c r="R427" s="239"/>
      <c r="S427" s="239"/>
      <c r="T427" s="239"/>
      <c r="U427" s="240"/>
      <c r="V427" s="238"/>
      <c r="W427" s="242"/>
      <c r="X427" s="239"/>
      <c r="Y427" s="239"/>
      <c r="Z427" s="239"/>
      <c r="AA427" s="239"/>
      <c r="AB427" s="239"/>
      <c r="AC427" s="239"/>
      <c r="AD427" s="239"/>
      <c r="AE427" s="239"/>
      <c r="AF427" s="239"/>
      <c r="AG427" s="239"/>
      <c r="AH427" s="239"/>
      <c r="AI427" s="239"/>
      <c r="AJ427" s="239"/>
      <c r="AK427" s="239"/>
      <c r="AL427" s="239"/>
      <c r="AM427" s="4"/>
      <c r="AN427" s="4"/>
    </row>
    <row r="428" ht="15.75" customHeight="1">
      <c r="A428" s="4"/>
      <c r="B428" s="4"/>
      <c r="C428" s="12"/>
      <c r="D428" s="4"/>
      <c r="E428" s="4"/>
      <c r="F428" s="4"/>
      <c r="G428" s="4"/>
      <c r="H428" s="4"/>
      <c r="I428" s="237"/>
      <c r="J428" s="238"/>
      <c r="K428" s="238"/>
      <c r="L428" s="239"/>
      <c r="M428" s="239"/>
      <c r="N428" s="239"/>
      <c r="O428" s="240"/>
      <c r="P428" s="238"/>
      <c r="Q428" s="241"/>
      <c r="R428" s="239"/>
      <c r="S428" s="239"/>
      <c r="T428" s="239"/>
      <c r="U428" s="240"/>
      <c r="V428" s="238"/>
      <c r="W428" s="242"/>
      <c r="X428" s="239"/>
      <c r="Y428" s="239"/>
      <c r="Z428" s="239"/>
      <c r="AA428" s="239"/>
      <c r="AB428" s="239"/>
      <c r="AC428" s="239"/>
      <c r="AD428" s="239"/>
      <c r="AE428" s="239"/>
      <c r="AF428" s="239"/>
      <c r="AG428" s="239"/>
      <c r="AH428" s="239"/>
      <c r="AI428" s="239"/>
      <c r="AJ428" s="239"/>
      <c r="AK428" s="239"/>
      <c r="AL428" s="239"/>
      <c r="AM428" s="4"/>
      <c r="AN428" s="4"/>
    </row>
    <row r="429" ht="15.75" customHeight="1">
      <c r="A429" s="4"/>
      <c r="B429" s="4"/>
      <c r="C429" s="12"/>
      <c r="D429" s="4"/>
      <c r="E429" s="4"/>
      <c r="F429" s="4"/>
      <c r="G429" s="4"/>
      <c r="H429" s="4"/>
      <c r="I429" s="237"/>
      <c r="J429" s="238"/>
      <c r="K429" s="238"/>
      <c r="L429" s="239"/>
      <c r="M429" s="239"/>
      <c r="N429" s="239"/>
      <c r="O429" s="240"/>
      <c r="P429" s="238"/>
      <c r="Q429" s="241"/>
      <c r="R429" s="239"/>
      <c r="S429" s="239"/>
      <c r="T429" s="239"/>
      <c r="U429" s="240"/>
      <c r="V429" s="238"/>
      <c r="W429" s="242"/>
      <c r="X429" s="239"/>
      <c r="Y429" s="239"/>
      <c r="Z429" s="239"/>
      <c r="AA429" s="239"/>
      <c r="AB429" s="239"/>
      <c r="AC429" s="239"/>
      <c r="AD429" s="239"/>
      <c r="AE429" s="239"/>
      <c r="AF429" s="239"/>
      <c r="AG429" s="239"/>
      <c r="AH429" s="239"/>
      <c r="AI429" s="239"/>
      <c r="AJ429" s="239"/>
      <c r="AK429" s="239"/>
      <c r="AL429" s="239"/>
      <c r="AM429" s="4"/>
      <c r="AN429" s="4"/>
    </row>
    <row r="430" ht="15.75" customHeight="1">
      <c r="A430" s="4"/>
      <c r="B430" s="4"/>
      <c r="C430" s="12"/>
      <c r="D430" s="4"/>
      <c r="E430" s="4"/>
      <c r="F430" s="4"/>
      <c r="G430" s="4"/>
      <c r="H430" s="4"/>
      <c r="I430" s="237"/>
      <c r="J430" s="238"/>
      <c r="K430" s="238"/>
      <c r="L430" s="239"/>
      <c r="M430" s="239"/>
      <c r="N430" s="239"/>
      <c r="O430" s="240"/>
      <c r="P430" s="238"/>
      <c r="Q430" s="241"/>
      <c r="R430" s="239"/>
      <c r="S430" s="239"/>
      <c r="T430" s="239"/>
      <c r="U430" s="240"/>
      <c r="V430" s="238"/>
      <c r="W430" s="242"/>
      <c r="X430" s="239"/>
      <c r="Y430" s="239"/>
      <c r="Z430" s="239"/>
      <c r="AA430" s="239"/>
      <c r="AB430" s="239"/>
      <c r="AC430" s="239"/>
      <c r="AD430" s="239"/>
      <c r="AE430" s="239"/>
      <c r="AF430" s="239"/>
      <c r="AG430" s="239"/>
      <c r="AH430" s="239"/>
      <c r="AI430" s="239"/>
      <c r="AJ430" s="239"/>
      <c r="AK430" s="239"/>
      <c r="AL430" s="239"/>
      <c r="AM430" s="4"/>
      <c r="AN430" s="4"/>
    </row>
    <row r="431" ht="15.75" customHeight="1">
      <c r="A431" s="4"/>
      <c r="B431" s="4"/>
      <c r="C431" s="12"/>
      <c r="D431" s="4"/>
      <c r="E431" s="4"/>
      <c r="F431" s="4"/>
      <c r="G431" s="4"/>
      <c r="H431" s="4"/>
      <c r="I431" s="237"/>
      <c r="J431" s="238"/>
      <c r="K431" s="238"/>
      <c r="L431" s="239"/>
      <c r="M431" s="239"/>
      <c r="N431" s="239"/>
      <c r="O431" s="240"/>
      <c r="P431" s="238"/>
      <c r="Q431" s="241"/>
      <c r="R431" s="239"/>
      <c r="S431" s="239"/>
      <c r="T431" s="239"/>
      <c r="U431" s="240"/>
      <c r="V431" s="238"/>
      <c r="W431" s="242"/>
      <c r="X431" s="239"/>
      <c r="Y431" s="239"/>
      <c r="Z431" s="239"/>
      <c r="AA431" s="239"/>
      <c r="AB431" s="239"/>
      <c r="AC431" s="239"/>
      <c r="AD431" s="239"/>
      <c r="AE431" s="239"/>
      <c r="AF431" s="239"/>
      <c r="AG431" s="239"/>
      <c r="AH431" s="239"/>
      <c r="AI431" s="239"/>
      <c r="AJ431" s="239"/>
      <c r="AK431" s="239"/>
      <c r="AL431" s="239"/>
      <c r="AM431" s="4"/>
      <c r="AN431" s="4"/>
    </row>
    <row r="432" ht="15.75" customHeight="1">
      <c r="A432" s="4"/>
      <c r="B432" s="4"/>
      <c r="C432" s="12"/>
      <c r="D432" s="4"/>
      <c r="E432" s="4"/>
      <c r="F432" s="4"/>
      <c r="G432" s="4"/>
      <c r="H432" s="4"/>
      <c r="I432" s="237"/>
      <c r="J432" s="238"/>
      <c r="K432" s="238"/>
      <c r="L432" s="239"/>
      <c r="M432" s="239"/>
      <c r="N432" s="239"/>
      <c r="O432" s="240"/>
      <c r="P432" s="238"/>
      <c r="Q432" s="241"/>
      <c r="R432" s="239"/>
      <c r="S432" s="239"/>
      <c r="T432" s="239"/>
      <c r="U432" s="240"/>
      <c r="V432" s="238"/>
      <c r="W432" s="242"/>
      <c r="X432" s="239"/>
      <c r="Y432" s="239"/>
      <c r="Z432" s="239"/>
      <c r="AA432" s="239"/>
      <c r="AB432" s="239"/>
      <c r="AC432" s="239"/>
      <c r="AD432" s="239"/>
      <c r="AE432" s="239"/>
      <c r="AF432" s="239"/>
      <c r="AG432" s="239"/>
      <c r="AH432" s="239"/>
      <c r="AI432" s="239"/>
      <c r="AJ432" s="239"/>
      <c r="AK432" s="239"/>
      <c r="AL432" s="239"/>
      <c r="AM432" s="4"/>
      <c r="AN432" s="4"/>
    </row>
    <row r="433" ht="15.75" customHeight="1">
      <c r="A433" s="4"/>
      <c r="B433" s="4"/>
      <c r="C433" s="12"/>
      <c r="D433" s="4"/>
      <c r="E433" s="4"/>
      <c r="F433" s="4"/>
      <c r="G433" s="4"/>
      <c r="H433" s="4"/>
      <c r="I433" s="237"/>
      <c r="J433" s="238"/>
      <c r="K433" s="238"/>
      <c r="L433" s="239"/>
      <c r="M433" s="239"/>
      <c r="N433" s="239"/>
      <c r="O433" s="240"/>
      <c r="P433" s="238"/>
      <c r="Q433" s="241"/>
      <c r="R433" s="239"/>
      <c r="S433" s="239"/>
      <c r="T433" s="239"/>
      <c r="U433" s="240"/>
      <c r="V433" s="238"/>
      <c r="W433" s="242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4"/>
      <c r="AN433" s="4"/>
    </row>
    <row r="434" ht="15.75" customHeight="1">
      <c r="A434" s="4"/>
      <c r="B434" s="4"/>
      <c r="C434" s="12"/>
      <c r="D434" s="4"/>
      <c r="E434" s="4"/>
      <c r="F434" s="4"/>
      <c r="G434" s="4"/>
      <c r="H434" s="4"/>
      <c r="I434" s="237"/>
      <c r="J434" s="238"/>
      <c r="K434" s="238"/>
      <c r="L434" s="239"/>
      <c r="M434" s="239"/>
      <c r="N434" s="239"/>
      <c r="O434" s="240"/>
      <c r="P434" s="238"/>
      <c r="Q434" s="241"/>
      <c r="R434" s="239"/>
      <c r="S434" s="239"/>
      <c r="T434" s="239"/>
      <c r="U434" s="240"/>
      <c r="V434" s="238"/>
      <c r="W434" s="242"/>
      <c r="X434" s="239"/>
      <c r="Y434" s="239"/>
      <c r="Z434" s="239"/>
      <c r="AA434" s="239"/>
      <c r="AB434" s="239"/>
      <c r="AC434" s="239"/>
      <c r="AD434" s="239"/>
      <c r="AE434" s="239"/>
      <c r="AF434" s="239"/>
      <c r="AG434" s="239"/>
      <c r="AH434" s="239"/>
      <c r="AI434" s="239"/>
      <c r="AJ434" s="239"/>
      <c r="AK434" s="239"/>
      <c r="AL434" s="239"/>
      <c r="AM434" s="4"/>
      <c r="AN434" s="4"/>
    </row>
    <row r="435" ht="15.75" customHeight="1">
      <c r="A435" s="4"/>
      <c r="B435" s="4"/>
      <c r="C435" s="12"/>
      <c r="D435" s="4"/>
      <c r="E435" s="4"/>
      <c r="F435" s="4"/>
      <c r="G435" s="4"/>
      <c r="H435" s="4"/>
      <c r="I435" s="237"/>
      <c r="J435" s="238"/>
      <c r="K435" s="238"/>
      <c r="L435" s="239"/>
      <c r="M435" s="239"/>
      <c r="N435" s="239"/>
      <c r="O435" s="240"/>
      <c r="P435" s="238"/>
      <c r="Q435" s="241"/>
      <c r="R435" s="239"/>
      <c r="S435" s="239"/>
      <c r="T435" s="239"/>
      <c r="U435" s="240"/>
      <c r="V435" s="238"/>
      <c r="W435" s="242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4"/>
      <c r="AN435" s="4"/>
    </row>
    <row r="436" ht="15.75" customHeight="1">
      <c r="A436" s="4"/>
      <c r="B436" s="4"/>
      <c r="C436" s="12"/>
      <c r="D436" s="4"/>
      <c r="E436" s="4"/>
      <c r="F436" s="4"/>
      <c r="G436" s="4"/>
      <c r="H436" s="4"/>
      <c r="I436" s="237"/>
      <c r="J436" s="238"/>
      <c r="K436" s="238"/>
      <c r="L436" s="239"/>
      <c r="M436" s="239"/>
      <c r="N436" s="239"/>
      <c r="O436" s="240"/>
      <c r="P436" s="238"/>
      <c r="Q436" s="241"/>
      <c r="R436" s="239"/>
      <c r="S436" s="239"/>
      <c r="T436" s="239"/>
      <c r="U436" s="240"/>
      <c r="V436" s="238"/>
      <c r="W436" s="242"/>
      <c r="X436" s="239"/>
      <c r="Y436" s="239"/>
      <c r="Z436" s="239"/>
      <c r="AA436" s="239"/>
      <c r="AB436" s="239"/>
      <c r="AC436" s="239"/>
      <c r="AD436" s="239"/>
      <c r="AE436" s="239"/>
      <c r="AF436" s="239"/>
      <c r="AG436" s="239"/>
      <c r="AH436" s="239"/>
      <c r="AI436" s="239"/>
      <c r="AJ436" s="239"/>
      <c r="AK436" s="239"/>
      <c r="AL436" s="239"/>
      <c r="AM436" s="4"/>
      <c r="AN436" s="4"/>
    </row>
    <row r="437" ht="15.75" customHeight="1">
      <c r="A437" s="4"/>
      <c r="B437" s="4"/>
      <c r="C437" s="12"/>
      <c r="D437" s="4"/>
      <c r="E437" s="4"/>
      <c r="F437" s="4"/>
      <c r="G437" s="4"/>
      <c r="H437" s="4"/>
      <c r="I437" s="237"/>
      <c r="J437" s="238"/>
      <c r="K437" s="238"/>
      <c r="L437" s="239"/>
      <c r="M437" s="239"/>
      <c r="N437" s="239"/>
      <c r="O437" s="240"/>
      <c r="P437" s="238"/>
      <c r="Q437" s="241"/>
      <c r="R437" s="239"/>
      <c r="S437" s="239"/>
      <c r="T437" s="239"/>
      <c r="U437" s="240"/>
      <c r="V437" s="238"/>
      <c r="W437" s="242"/>
      <c r="X437" s="239"/>
      <c r="Y437" s="239"/>
      <c r="Z437" s="239"/>
      <c r="AA437" s="239"/>
      <c r="AB437" s="239"/>
      <c r="AC437" s="239"/>
      <c r="AD437" s="239"/>
      <c r="AE437" s="239"/>
      <c r="AF437" s="239"/>
      <c r="AG437" s="239"/>
      <c r="AH437" s="239"/>
      <c r="AI437" s="239"/>
      <c r="AJ437" s="239"/>
      <c r="AK437" s="239"/>
      <c r="AL437" s="239"/>
      <c r="AM437" s="4"/>
      <c r="AN437" s="4"/>
    </row>
    <row r="438" ht="15.75" customHeight="1">
      <c r="A438" s="4"/>
      <c r="B438" s="4"/>
      <c r="C438" s="12"/>
      <c r="D438" s="4"/>
      <c r="E438" s="4"/>
      <c r="F438" s="4"/>
      <c r="G438" s="4"/>
      <c r="H438" s="4"/>
      <c r="I438" s="237"/>
      <c r="J438" s="238"/>
      <c r="K438" s="238"/>
      <c r="L438" s="239"/>
      <c r="M438" s="239"/>
      <c r="N438" s="239"/>
      <c r="O438" s="240"/>
      <c r="P438" s="238"/>
      <c r="Q438" s="241"/>
      <c r="R438" s="239"/>
      <c r="S438" s="239"/>
      <c r="T438" s="239"/>
      <c r="U438" s="240"/>
      <c r="V438" s="238"/>
      <c r="W438" s="242"/>
      <c r="X438" s="239"/>
      <c r="Y438" s="239"/>
      <c r="Z438" s="239"/>
      <c r="AA438" s="239"/>
      <c r="AB438" s="239"/>
      <c r="AC438" s="239"/>
      <c r="AD438" s="239"/>
      <c r="AE438" s="239"/>
      <c r="AF438" s="239"/>
      <c r="AG438" s="239"/>
      <c r="AH438" s="239"/>
      <c r="AI438" s="239"/>
      <c r="AJ438" s="239"/>
      <c r="AK438" s="239"/>
      <c r="AL438" s="239"/>
      <c r="AM438" s="4"/>
      <c r="AN438" s="4"/>
    </row>
    <row r="439" ht="15.75" customHeight="1">
      <c r="A439" s="4"/>
      <c r="B439" s="4"/>
      <c r="C439" s="12"/>
      <c r="D439" s="4"/>
      <c r="E439" s="4"/>
      <c r="F439" s="4"/>
      <c r="G439" s="4"/>
      <c r="H439" s="4"/>
      <c r="I439" s="237"/>
      <c r="J439" s="238"/>
      <c r="K439" s="238"/>
      <c r="L439" s="239"/>
      <c r="M439" s="239"/>
      <c r="N439" s="239"/>
      <c r="O439" s="240"/>
      <c r="P439" s="238"/>
      <c r="Q439" s="241"/>
      <c r="R439" s="239"/>
      <c r="S439" s="239"/>
      <c r="T439" s="239"/>
      <c r="U439" s="240"/>
      <c r="V439" s="238"/>
      <c r="W439" s="242"/>
      <c r="X439" s="239"/>
      <c r="Y439" s="239"/>
      <c r="Z439" s="239"/>
      <c r="AA439" s="239"/>
      <c r="AB439" s="239"/>
      <c r="AC439" s="239"/>
      <c r="AD439" s="239"/>
      <c r="AE439" s="239"/>
      <c r="AF439" s="239"/>
      <c r="AG439" s="239"/>
      <c r="AH439" s="239"/>
      <c r="AI439" s="239"/>
      <c r="AJ439" s="239"/>
      <c r="AK439" s="239"/>
      <c r="AL439" s="239"/>
      <c r="AM439" s="4"/>
      <c r="AN439" s="4"/>
    </row>
    <row r="440" ht="15.75" customHeight="1">
      <c r="A440" s="4"/>
      <c r="B440" s="4"/>
      <c r="C440" s="12"/>
      <c r="D440" s="4"/>
      <c r="E440" s="4"/>
      <c r="F440" s="4"/>
      <c r="G440" s="4"/>
      <c r="H440" s="4"/>
      <c r="I440" s="237"/>
      <c r="J440" s="238"/>
      <c r="K440" s="238"/>
      <c r="L440" s="239"/>
      <c r="M440" s="239"/>
      <c r="N440" s="239"/>
      <c r="O440" s="240"/>
      <c r="P440" s="238"/>
      <c r="Q440" s="241"/>
      <c r="R440" s="239"/>
      <c r="S440" s="239"/>
      <c r="T440" s="239"/>
      <c r="U440" s="240"/>
      <c r="V440" s="238"/>
      <c r="W440" s="242"/>
      <c r="X440" s="239"/>
      <c r="Y440" s="239"/>
      <c r="Z440" s="239"/>
      <c r="AA440" s="239"/>
      <c r="AB440" s="239"/>
      <c r="AC440" s="239"/>
      <c r="AD440" s="239"/>
      <c r="AE440" s="239"/>
      <c r="AF440" s="239"/>
      <c r="AG440" s="239"/>
      <c r="AH440" s="239"/>
      <c r="AI440" s="239"/>
      <c r="AJ440" s="239"/>
      <c r="AK440" s="239"/>
      <c r="AL440" s="239"/>
      <c r="AM440" s="4"/>
      <c r="AN440" s="4"/>
    </row>
    <row r="441" ht="15.75" customHeight="1">
      <c r="A441" s="4"/>
      <c r="B441" s="4"/>
      <c r="C441" s="12"/>
      <c r="D441" s="4"/>
      <c r="E441" s="4"/>
      <c r="F441" s="4"/>
      <c r="G441" s="4"/>
      <c r="H441" s="4"/>
      <c r="I441" s="237"/>
      <c r="J441" s="238"/>
      <c r="K441" s="238"/>
      <c r="L441" s="239"/>
      <c r="M441" s="239"/>
      <c r="N441" s="239"/>
      <c r="O441" s="240"/>
      <c r="P441" s="238"/>
      <c r="Q441" s="241"/>
      <c r="R441" s="239"/>
      <c r="S441" s="239"/>
      <c r="T441" s="239"/>
      <c r="U441" s="240"/>
      <c r="V441" s="238"/>
      <c r="W441" s="242"/>
      <c r="X441" s="239"/>
      <c r="Y441" s="239"/>
      <c r="Z441" s="239"/>
      <c r="AA441" s="239"/>
      <c r="AB441" s="239"/>
      <c r="AC441" s="239"/>
      <c r="AD441" s="239"/>
      <c r="AE441" s="239"/>
      <c r="AF441" s="239"/>
      <c r="AG441" s="239"/>
      <c r="AH441" s="239"/>
      <c r="AI441" s="239"/>
      <c r="AJ441" s="239"/>
      <c r="AK441" s="239"/>
      <c r="AL441" s="239"/>
      <c r="AM441" s="4"/>
      <c r="AN441" s="4"/>
    </row>
    <row r="442" ht="15.75" customHeight="1">
      <c r="A442" s="4"/>
      <c r="B442" s="4"/>
      <c r="C442" s="12"/>
      <c r="D442" s="4"/>
      <c r="E442" s="4"/>
      <c r="F442" s="4"/>
      <c r="G442" s="4"/>
      <c r="H442" s="4"/>
      <c r="I442" s="237"/>
      <c r="J442" s="238"/>
      <c r="K442" s="238"/>
      <c r="L442" s="239"/>
      <c r="M442" s="239"/>
      <c r="N442" s="239"/>
      <c r="O442" s="240"/>
      <c r="P442" s="238"/>
      <c r="Q442" s="241"/>
      <c r="R442" s="239"/>
      <c r="S442" s="239"/>
      <c r="T442" s="239"/>
      <c r="U442" s="240"/>
      <c r="V442" s="238"/>
      <c r="W442" s="242"/>
      <c r="X442" s="239"/>
      <c r="Y442" s="239"/>
      <c r="Z442" s="239"/>
      <c r="AA442" s="239"/>
      <c r="AB442" s="239"/>
      <c r="AC442" s="239"/>
      <c r="AD442" s="239"/>
      <c r="AE442" s="239"/>
      <c r="AF442" s="239"/>
      <c r="AG442" s="239"/>
      <c r="AH442" s="239"/>
      <c r="AI442" s="239"/>
      <c r="AJ442" s="239"/>
      <c r="AK442" s="239"/>
      <c r="AL442" s="239"/>
      <c r="AM442" s="4"/>
      <c r="AN442" s="4"/>
    </row>
    <row r="443" ht="15.75" customHeight="1">
      <c r="A443" s="4"/>
      <c r="B443" s="4"/>
      <c r="C443" s="12"/>
      <c r="D443" s="4"/>
      <c r="E443" s="4"/>
      <c r="F443" s="4"/>
      <c r="G443" s="4"/>
      <c r="H443" s="4"/>
      <c r="I443" s="237"/>
      <c r="J443" s="238"/>
      <c r="K443" s="238"/>
      <c r="L443" s="239"/>
      <c r="M443" s="239"/>
      <c r="N443" s="239"/>
      <c r="O443" s="240"/>
      <c r="P443" s="238"/>
      <c r="Q443" s="241"/>
      <c r="R443" s="239"/>
      <c r="S443" s="239"/>
      <c r="T443" s="239"/>
      <c r="U443" s="240"/>
      <c r="V443" s="238"/>
      <c r="W443" s="242"/>
      <c r="X443" s="239"/>
      <c r="Y443" s="239"/>
      <c r="Z443" s="239"/>
      <c r="AA443" s="239"/>
      <c r="AB443" s="239"/>
      <c r="AC443" s="239"/>
      <c r="AD443" s="239"/>
      <c r="AE443" s="239"/>
      <c r="AF443" s="239"/>
      <c r="AG443" s="239"/>
      <c r="AH443" s="239"/>
      <c r="AI443" s="239"/>
      <c r="AJ443" s="239"/>
      <c r="AK443" s="239"/>
      <c r="AL443" s="239"/>
      <c r="AM443" s="4"/>
      <c r="AN443" s="4"/>
    </row>
    <row r="444" ht="15.75" customHeight="1">
      <c r="A444" s="4"/>
      <c r="B444" s="4"/>
      <c r="C444" s="12"/>
      <c r="D444" s="4"/>
      <c r="E444" s="4"/>
      <c r="F444" s="4"/>
      <c r="G444" s="4"/>
      <c r="H444" s="4"/>
      <c r="I444" s="237"/>
      <c r="J444" s="238"/>
      <c r="K444" s="238"/>
      <c r="L444" s="239"/>
      <c r="M444" s="239"/>
      <c r="N444" s="239"/>
      <c r="O444" s="240"/>
      <c r="P444" s="238"/>
      <c r="Q444" s="241"/>
      <c r="R444" s="239"/>
      <c r="S444" s="239"/>
      <c r="T444" s="239"/>
      <c r="U444" s="240"/>
      <c r="V444" s="238"/>
      <c r="W444" s="242"/>
      <c r="X444" s="239"/>
      <c r="Y444" s="239"/>
      <c r="Z444" s="239"/>
      <c r="AA444" s="239"/>
      <c r="AB444" s="239"/>
      <c r="AC444" s="239"/>
      <c r="AD444" s="239"/>
      <c r="AE444" s="239"/>
      <c r="AF444" s="239"/>
      <c r="AG444" s="239"/>
      <c r="AH444" s="239"/>
      <c r="AI444" s="239"/>
      <c r="AJ444" s="239"/>
      <c r="AK444" s="239"/>
      <c r="AL444" s="239"/>
      <c r="AM444" s="4"/>
      <c r="AN444" s="4"/>
    </row>
    <row r="445" ht="15.75" customHeight="1">
      <c r="A445" s="4"/>
      <c r="B445" s="4"/>
      <c r="C445" s="12"/>
      <c r="D445" s="4"/>
      <c r="E445" s="4"/>
      <c r="F445" s="4"/>
      <c r="G445" s="4"/>
      <c r="H445" s="4"/>
      <c r="I445" s="237"/>
      <c r="J445" s="238"/>
      <c r="K445" s="238"/>
      <c r="L445" s="239"/>
      <c r="M445" s="239"/>
      <c r="N445" s="239"/>
      <c r="O445" s="240"/>
      <c r="P445" s="238"/>
      <c r="Q445" s="241"/>
      <c r="R445" s="239"/>
      <c r="S445" s="239"/>
      <c r="T445" s="239"/>
      <c r="U445" s="240"/>
      <c r="V445" s="238"/>
      <c r="W445" s="242"/>
      <c r="X445" s="239"/>
      <c r="Y445" s="239"/>
      <c r="Z445" s="239"/>
      <c r="AA445" s="239"/>
      <c r="AB445" s="239"/>
      <c r="AC445" s="239"/>
      <c r="AD445" s="239"/>
      <c r="AE445" s="239"/>
      <c r="AF445" s="239"/>
      <c r="AG445" s="239"/>
      <c r="AH445" s="239"/>
      <c r="AI445" s="239"/>
      <c r="AJ445" s="239"/>
      <c r="AK445" s="239"/>
      <c r="AL445" s="239"/>
      <c r="AM445" s="4"/>
      <c r="AN445" s="4"/>
    </row>
    <row r="446" ht="15.75" customHeight="1">
      <c r="A446" s="4"/>
      <c r="B446" s="4"/>
      <c r="C446" s="12"/>
      <c r="D446" s="4"/>
      <c r="E446" s="4"/>
      <c r="F446" s="4"/>
      <c r="G446" s="4"/>
      <c r="H446" s="4"/>
      <c r="I446" s="237"/>
      <c r="J446" s="238"/>
      <c r="K446" s="238"/>
      <c r="L446" s="239"/>
      <c r="M446" s="239"/>
      <c r="N446" s="239"/>
      <c r="O446" s="240"/>
      <c r="P446" s="238"/>
      <c r="Q446" s="241"/>
      <c r="R446" s="239"/>
      <c r="S446" s="239"/>
      <c r="T446" s="239"/>
      <c r="U446" s="240"/>
      <c r="V446" s="238"/>
      <c r="W446" s="242"/>
      <c r="X446" s="239"/>
      <c r="Y446" s="239"/>
      <c r="Z446" s="239"/>
      <c r="AA446" s="239"/>
      <c r="AB446" s="239"/>
      <c r="AC446" s="239"/>
      <c r="AD446" s="239"/>
      <c r="AE446" s="239"/>
      <c r="AF446" s="239"/>
      <c r="AG446" s="239"/>
      <c r="AH446" s="239"/>
      <c r="AI446" s="239"/>
      <c r="AJ446" s="239"/>
      <c r="AK446" s="239"/>
      <c r="AL446" s="239"/>
      <c r="AM446" s="4"/>
      <c r="AN446" s="4"/>
    </row>
    <row r="447" ht="15.75" customHeight="1">
      <c r="A447" s="4"/>
      <c r="B447" s="4"/>
      <c r="C447" s="12"/>
      <c r="D447" s="4"/>
      <c r="E447" s="4"/>
      <c r="F447" s="4"/>
      <c r="G447" s="4"/>
      <c r="H447" s="4"/>
      <c r="I447" s="237"/>
      <c r="J447" s="238"/>
      <c r="K447" s="238"/>
      <c r="L447" s="239"/>
      <c r="M447" s="239"/>
      <c r="N447" s="239"/>
      <c r="O447" s="240"/>
      <c r="P447" s="238"/>
      <c r="Q447" s="241"/>
      <c r="R447" s="239"/>
      <c r="S447" s="239"/>
      <c r="T447" s="239"/>
      <c r="U447" s="240"/>
      <c r="V447" s="238"/>
      <c r="W447" s="242"/>
      <c r="X447" s="239"/>
      <c r="Y447" s="239"/>
      <c r="Z447" s="239"/>
      <c r="AA447" s="239"/>
      <c r="AB447" s="239"/>
      <c r="AC447" s="239"/>
      <c r="AD447" s="239"/>
      <c r="AE447" s="239"/>
      <c r="AF447" s="239"/>
      <c r="AG447" s="239"/>
      <c r="AH447" s="239"/>
      <c r="AI447" s="239"/>
      <c r="AJ447" s="239"/>
      <c r="AK447" s="239"/>
      <c r="AL447" s="239"/>
      <c r="AM447" s="4"/>
      <c r="AN447" s="4"/>
    </row>
    <row r="448" ht="15.75" customHeight="1">
      <c r="A448" s="4"/>
      <c r="B448" s="4"/>
      <c r="C448" s="12"/>
      <c r="D448" s="4"/>
      <c r="E448" s="4"/>
      <c r="F448" s="4"/>
      <c r="G448" s="4"/>
      <c r="H448" s="4"/>
      <c r="I448" s="237"/>
      <c r="J448" s="238"/>
      <c r="K448" s="238"/>
      <c r="L448" s="239"/>
      <c r="M448" s="239"/>
      <c r="N448" s="239"/>
      <c r="O448" s="240"/>
      <c r="P448" s="238"/>
      <c r="Q448" s="241"/>
      <c r="R448" s="239"/>
      <c r="S448" s="239"/>
      <c r="T448" s="239"/>
      <c r="U448" s="240"/>
      <c r="V448" s="238"/>
      <c r="W448" s="242"/>
      <c r="X448" s="239"/>
      <c r="Y448" s="239"/>
      <c r="Z448" s="239"/>
      <c r="AA448" s="239"/>
      <c r="AB448" s="239"/>
      <c r="AC448" s="239"/>
      <c r="AD448" s="239"/>
      <c r="AE448" s="239"/>
      <c r="AF448" s="239"/>
      <c r="AG448" s="239"/>
      <c r="AH448" s="239"/>
      <c r="AI448" s="239"/>
      <c r="AJ448" s="239"/>
      <c r="AK448" s="239"/>
      <c r="AL448" s="239"/>
      <c r="AM448" s="4"/>
      <c r="AN448" s="4"/>
    </row>
    <row r="449" ht="15.75" customHeight="1">
      <c r="A449" s="4"/>
      <c r="B449" s="4"/>
      <c r="C449" s="12"/>
      <c r="D449" s="4"/>
      <c r="E449" s="4"/>
      <c r="F449" s="4"/>
      <c r="G449" s="4"/>
      <c r="H449" s="4"/>
      <c r="I449" s="237"/>
      <c r="J449" s="238"/>
      <c r="K449" s="238"/>
      <c r="L449" s="239"/>
      <c r="M449" s="239"/>
      <c r="N449" s="239"/>
      <c r="O449" s="240"/>
      <c r="P449" s="238"/>
      <c r="Q449" s="241"/>
      <c r="R449" s="239"/>
      <c r="S449" s="239"/>
      <c r="T449" s="239"/>
      <c r="U449" s="240"/>
      <c r="V449" s="238"/>
      <c r="W449" s="242"/>
      <c r="X449" s="239"/>
      <c r="Y449" s="239"/>
      <c r="Z449" s="239"/>
      <c r="AA449" s="239"/>
      <c r="AB449" s="239"/>
      <c r="AC449" s="239"/>
      <c r="AD449" s="239"/>
      <c r="AE449" s="239"/>
      <c r="AF449" s="239"/>
      <c r="AG449" s="239"/>
      <c r="AH449" s="239"/>
      <c r="AI449" s="239"/>
      <c r="AJ449" s="239"/>
      <c r="AK449" s="239"/>
      <c r="AL449" s="239"/>
      <c r="AM449" s="4"/>
      <c r="AN449" s="4"/>
    </row>
    <row r="450" ht="15.75" customHeight="1">
      <c r="A450" s="4"/>
      <c r="B450" s="4"/>
      <c r="C450" s="12"/>
      <c r="D450" s="4"/>
      <c r="E450" s="4"/>
      <c r="F450" s="4"/>
      <c r="G450" s="4"/>
      <c r="H450" s="4"/>
      <c r="I450" s="237"/>
      <c r="J450" s="238"/>
      <c r="K450" s="238"/>
      <c r="L450" s="239"/>
      <c r="M450" s="239"/>
      <c r="N450" s="239"/>
      <c r="O450" s="240"/>
      <c r="P450" s="238"/>
      <c r="Q450" s="241"/>
      <c r="R450" s="239"/>
      <c r="S450" s="239"/>
      <c r="T450" s="239"/>
      <c r="U450" s="240"/>
      <c r="V450" s="238"/>
      <c r="W450" s="242"/>
      <c r="X450" s="239"/>
      <c r="Y450" s="239"/>
      <c r="Z450" s="239"/>
      <c r="AA450" s="239"/>
      <c r="AB450" s="239"/>
      <c r="AC450" s="239"/>
      <c r="AD450" s="239"/>
      <c r="AE450" s="239"/>
      <c r="AF450" s="239"/>
      <c r="AG450" s="239"/>
      <c r="AH450" s="239"/>
      <c r="AI450" s="239"/>
      <c r="AJ450" s="239"/>
      <c r="AK450" s="239"/>
      <c r="AL450" s="239"/>
      <c r="AM450" s="4"/>
      <c r="AN450" s="4"/>
    </row>
    <row r="451" ht="15.75" customHeight="1">
      <c r="A451" s="4"/>
      <c r="B451" s="4"/>
      <c r="C451" s="12"/>
      <c r="D451" s="4"/>
      <c r="E451" s="4"/>
      <c r="F451" s="4"/>
      <c r="G451" s="4"/>
      <c r="H451" s="4"/>
      <c r="I451" s="237"/>
      <c r="J451" s="238"/>
      <c r="K451" s="238"/>
      <c r="L451" s="239"/>
      <c r="M451" s="239"/>
      <c r="N451" s="239"/>
      <c r="O451" s="240"/>
      <c r="P451" s="238"/>
      <c r="Q451" s="241"/>
      <c r="R451" s="239"/>
      <c r="S451" s="239"/>
      <c r="T451" s="239"/>
      <c r="U451" s="240"/>
      <c r="V451" s="238"/>
      <c r="W451" s="242"/>
      <c r="X451" s="239"/>
      <c r="Y451" s="239"/>
      <c r="Z451" s="239"/>
      <c r="AA451" s="239"/>
      <c r="AB451" s="239"/>
      <c r="AC451" s="239"/>
      <c r="AD451" s="239"/>
      <c r="AE451" s="239"/>
      <c r="AF451" s="239"/>
      <c r="AG451" s="239"/>
      <c r="AH451" s="239"/>
      <c r="AI451" s="239"/>
      <c r="AJ451" s="239"/>
      <c r="AK451" s="239"/>
      <c r="AL451" s="239"/>
      <c r="AM451" s="4"/>
      <c r="AN451" s="4"/>
    </row>
    <row r="452" ht="15.75" customHeight="1">
      <c r="A452" s="4"/>
      <c r="B452" s="4"/>
      <c r="C452" s="12"/>
      <c r="D452" s="4"/>
      <c r="E452" s="4"/>
      <c r="F452" s="4"/>
      <c r="G452" s="4"/>
      <c r="H452" s="4"/>
      <c r="I452" s="237"/>
      <c r="J452" s="238"/>
      <c r="K452" s="238"/>
      <c r="L452" s="239"/>
      <c r="M452" s="239"/>
      <c r="N452" s="239"/>
      <c r="O452" s="240"/>
      <c r="P452" s="238"/>
      <c r="Q452" s="241"/>
      <c r="R452" s="239"/>
      <c r="S452" s="239"/>
      <c r="T452" s="239"/>
      <c r="U452" s="240"/>
      <c r="V452" s="238"/>
      <c r="W452" s="242"/>
      <c r="X452" s="239"/>
      <c r="Y452" s="239"/>
      <c r="Z452" s="239"/>
      <c r="AA452" s="239"/>
      <c r="AB452" s="239"/>
      <c r="AC452" s="239"/>
      <c r="AD452" s="239"/>
      <c r="AE452" s="239"/>
      <c r="AF452" s="239"/>
      <c r="AG452" s="239"/>
      <c r="AH452" s="239"/>
      <c r="AI452" s="239"/>
      <c r="AJ452" s="239"/>
      <c r="AK452" s="239"/>
      <c r="AL452" s="239"/>
      <c r="AM452" s="4"/>
      <c r="AN452" s="4"/>
    </row>
    <row r="453" ht="15.75" customHeight="1">
      <c r="A453" s="4"/>
      <c r="B453" s="4"/>
      <c r="C453" s="12"/>
      <c r="D453" s="4"/>
      <c r="E453" s="4"/>
      <c r="F453" s="4"/>
      <c r="G453" s="4"/>
      <c r="H453" s="4"/>
      <c r="I453" s="237"/>
      <c r="J453" s="238"/>
      <c r="K453" s="238"/>
      <c r="L453" s="239"/>
      <c r="M453" s="239"/>
      <c r="N453" s="239"/>
      <c r="O453" s="240"/>
      <c r="P453" s="238"/>
      <c r="Q453" s="241"/>
      <c r="R453" s="239"/>
      <c r="S453" s="239"/>
      <c r="T453" s="239"/>
      <c r="U453" s="240"/>
      <c r="V453" s="238"/>
      <c r="W453" s="242"/>
      <c r="X453" s="239"/>
      <c r="Y453" s="239"/>
      <c r="Z453" s="239"/>
      <c r="AA453" s="239"/>
      <c r="AB453" s="239"/>
      <c r="AC453" s="239"/>
      <c r="AD453" s="239"/>
      <c r="AE453" s="239"/>
      <c r="AF453" s="239"/>
      <c r="AG453" s="239"/>
      <c r="AH453" s="239"/>
      <c r="AI453" s="239"/>
      <c r="AJ453" s="239"/>
      <c r="AK453" s="239"/>
      <c r="AL453" s="239"/>
      <c r="AM453" s="4"/>
      <c r="AN453" s="4"/>
    </row>
    <row r="454" ht="15.75" customHeight="1">
      <c r="A454" s="4"/>
      <c r="B454" s="4"/>
      <c r="C454" s="12"/>
      <c r="D454" s="4"/>
      <c r="E454" s="4"/>
      <c r="F454" s="4"/>
      <c r="G454" s="4"/>
      <c r="H454" s="4"/>
      <c r="I454" s="237"/>
      <c r="J454" s="238"/>
      <c r="K454" s="238"/>
      <c r="L454" s="239"/>
      <c r="M454" s="239"/>
      <c r="N454" s="239"/>
      <c r="O454" s="240"/>
      <c r="P454" s="238"/>
      <c r="Q454" s="241"/>
      <c r="R454" s="239"/>
      <c r="S454" s="239"/>
      <c r="T454" s="239"/>
      <c r="U454" s="240"/>
      <c r="V454" s="238"/>
      <c r="W454" s="242"/>
      <c r="X454" s="239"/>
      <c r="Y454" s="239"/>
      <c r="Z454" s="239"/>
      <c r="AA454" s="239"/>
      <c r="AB454" s="239"/>
      <c r="AC454" s="239"/>
      <c r="AD454" s="239"/>
      <c r="AE454" s="239"/>
      <c r="AF454" s="239"/>
      <c r="AG454" s="239"/>
      <c r="AH454" s="239"/>
      <c r="AI454" s="239"/>
      <c r="AJ454" s="239"/>
      <c r="AK454" s="239"/>
      <c r="AL454" s="239"/>
      <c r="AM454" s="4"/>
      <c r="AN454" s="4"/>
    </row>
    <row r="455" ht="15.75" customHeight="1">
      <c r="A455" s="4"/>
      <c r="B455" s="4"/>
      <c r="C455" s="12"/>
      <c r="D455" s="4"/>
      <c r="E455" s="4"/>
      <c r="F455" s="4"/>
      <c r="G455" s="4"/>
      <c r="H455" s="4"/>
      <c r="I455" s="237"/>
      <c r="J455" s="238"/>
      <c r="K455" s="238"/>
      <c r="L455" s="239"/>
      <c r="M455" s="239"/>
      <c r="N455" s="239"/>
      <c r="O455" s="240"/>
      <c r="P455" s="238"/>
      <c r="Q455" s="241"/>
      <c r="R455" s="239"/>
      <c r="S455" s="239"/>
      <c r="T455" s="239"/>
      <c r="U455" s="240"/>
      <c r="V455" s="238"/>
      <c r="W455" s="242"/>
      <c r="X455" s="239"/>
      <c r="Y455" s="239"/>
      <c r="Z455" s="239"/>
      <c r="AA455" s="239"/>
      <c r="AB455" s="239"/>
      <c r="AC455" s="239"/>
      <c r="AD455" s="239"/>
      <c r="AE455" s="239"/>
      <c r="AF455" s="239"/>
      <c r="AG455" s="239"/>
      <c r="AH455" s="239"/>
      <c r="AI455" s="239"/>
      <c r="AJ455" s="239"/>
      <c r="AK455" s="239"/>
      <c r="AL455" s="239"/>
      <c r="AM455" s="4"/>
      <c r="AN455" s="4"/>
    </row>
    <row r="456" ht="15.75" customHeight="1">
      <c r="A456" s="4"/>
      <c r="B456" s="4"/>
      <c r="C456" s="12"/>
      <c r="D456" s="4"/>
      <c r="E456" s="4"/>
      <c r="F456" s="4"/>
      <c r="G456" s="4"/>
      <c r="H456" s="4"/>
      <c r="I456" s="237"/>
      <c r="J456" s="238"/>
      <c r="K456" s="238"/>
      <c r="L456" s="239"/>
      <c r="M456" s="239"/>
      <c r="N456" s="239"/>
      <c r="O456" s="240"/>
      <c r="P456" s="238"/>
      <c r="Q456" s="241"/>
      <c r="R456" s="239"/>
      <c r="S456" s="239"/>
      <c r="T456" s="239"/>
      <c r="U456" s="240"/>
      <c r="V456" s="238"/>
      <c r="W456" s="242"/>
      <c r="X456" s="239"/>
      <c r="Y456" s="239"/>
      <c r="Z456" s="239"/>
      <c r="AA456" s="239"/>
      <c r="AB456" s="239"/>
      <c r="AC456" s="239"/>
      <c r="AD456" s="239"/>
      <c r="AE456" s="239"/>
      <c r="AF456" s="239"/>
      <c r="AG456" s="239"/>
      <c r="AH456" s="239"/>
      <c r="AI456" s="239"/>
      <c r="AJ456" s="239"/>
      <c r="AK456" s="239"/>
      <c r="AL456" s="239"/>
      <c r="AM456" s="4"/>
      <c r="AN456" s="4"/>
    </row>
    <row r="457" ht="15.75" customHeight="1">
      <c r="A457" s="4"/>
      <c r="B457" s="4"/>
      <c r="C457" s="12"/>
      <c r="D457" s="4"/>
      <c r="E457" s="4"/>
      <c r="F457" s="4"/>
      <c r="G457" s="4"/>
      <c r="H457" s="4"/>
      <c r="I457" s="237"/>
      <c r="J457" s="238"/>
      <c r="K457" s="238"/>
      <c r="L457" s="239"/>
      <c r="M457" s="239"/>
      <c r="N457" s="239"/>
      <c r="O457" s="240"/>
      <c r="P457" s="238"/>
      <c r="Q457" s="241"/>
      <c r="R457" s="239"/>
      <c r="S457" s="239"/>
      <c r="T457" s="239"/>
      <c r="U457" s="240"/>
      <c r="V457" s="238"/>
      <c r="W457" s="242"/>
      <c r="X457" s="239"/>
      <c r="Y457" s="239"/>
      <c r="Z457" s="239"/>
      <c r="AA457" s="239"/>
      <c r="AB457" s="239"/>
      <c r="AC457" s="239"/>
      <c r="AD457" s="239"/>
      <c r="AE457" s="239"/>
      <c r="AF457" s="239"/>
      <c r="AG457" s="239"/>
      <c r="AH457" s="239"/>
      <c r="AI457" s="239"/>
      <c r="AJ457" s="239"/>
      <c r="AK457" s="239"/>
      <c r="AL457" s="239"/>
      <c r="AM457" s="4"/>
      <c r="AN457" s="4"/>
    </row>
    <row r="458" ht="15.75" customHeight="1">
      <c r="A458" s="4"/>
      <c r="B458" s="4"/>
      <c r="C458" s="12"/>
      <c r="D458" s="4"/>
      <c r="E458" s="4"/>
      <c r="F458" s="4"/>
      <c r="G458" s="4"/>
      <c r="H458" s="4"/>
      <c r="I458" s="237"/>
      <c r="J458" s="238"/>
      <c r="K458" s="238"/>
      <c r="L458" s="239"/>
      <c r="M458" s="239"/>
      <c r="N458" s="239"/>
      <c r="O458" s="240"/>
      <c r="P458" s="238"/>
      <c r="Q458" s="241"/>
      <c r="R458" s="239"/>
      <c r="S458" s="239"/>
      <c r="T458" s="239"/>
      <c r="U458" s="240"/>
      <c r="V458" s="238"/>
      <c r="W458" s="242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4"/>
      <c r="AN458" s="4"/>
    </row>
    <row r="459" ht="15.75" customHeight="1">
      <c r="A459" s="4"/>
      <c r="B459" s="4"/>
      <c r="C459" s="12"/>
      <c r="D459" s="4"/>
      <c r="E459" s="4"/>
      <c r="F459" s="4"/>
      <c r="G459" s="4"/>
      <c r="H459" s="4"/>
      <c r="I459" s="237"/>
      <c r="J459" s="238"/>
      <c r="K459" s="238"/>
      <c r="L459" s="239"/>
      <c r="M459" s="239"/>
      <c r="N459" s="239"/>
      <c r="O459" s="240"/>
      <c r="P459" s="238"/>
      <c r="Q459" s="241"/>
      <c r="R459" s="239"/>
      <c r="S459" s="239"/>
      <c r="T459" s="239"/>
      <c r="U459" s="240"/>
      <c r="V459" s="238"/>
      <c r="W459" s="242"/>
      <c r="X459" s="239"/>
      <c r="Y459" s="239"/>
      <c r="Z459" s="239"/>
      <c r="AA459" s="239"/>
      <c r="AB459" s="239"/>
      <c r="AC459" s="239"/>
      <c r="AD459" s="239"/>
      <c r="AE459" s="239"/>
      <c r="AF459" s="239"/>
      <c r="AG459" s="239"/>
      <c r="AH459" s="239"/>
      <c r="AI459" s="239"/>
      <c r="AJ459" s="239"/>
      <c r="AK459" s="239"/>
      <c r="AL459" s="239"/>
      <c r="AM459" s="4"/>
      <c r="AN459" s="4"/>
    </row>
    <row r="460" ht="15.75" customHeight="1">
      <c r="A460" s="4"/>
      <c r="B460" s="4"/>
      <c r="C460" s="12"/>
      <c r="D460" s="4"/>
      <c r="E460" s="4"/>
      <c r="F460" s="4"/>
      <c r="G460" s="4"/>
      <c r="H460" s="4"/>
      <c r="I460" s="237"/>
      <c r="J460" s="238"/>
      <c r="K460" s="238"/>
      <c r="L460" s="239"/>
      <c r="M460" s="239"/>
      <c r="N460" s="239"/>
      <c r="O460" s="240"/>
      <c r="P460" s="238"/>
      <c r="Q460" s="241"/>
      <c r="R460" s="239"/>
      <c r="S460" s="239"/>
      <c r="T460" s="239"/>
      <c r="U460" s="240"/>
      <c r="V460" s="238"/>
      <c r="W460" s="242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4"/>
      <c r="AN460" s="4"/>
    </row>
    <row r="461" ht="15.75" customHeight="1">
      <c r="A461" s="4"/>
      <c r="B461" s="4"/>
      <c r="C461" s="12"/>
      <c r="D461" s="4"/>
      <c r="E461" s="4"/>
      <c r="F461" s="4"/>
      <c r="G461" s="4"/>
      <c r="H461" s="4"/>
      <c r="I461" s="237"/>
      <c r="J461" s="238"/>
      <c r="K461" s="238"/>
      <c r="L461" s="239"/>
      <c r="M461" s="239"/>
      <c r="N461" s="239"/>
      <c r="O461" s="240"/>
      <c r="P461" s="238"/>
      <c r="Q461" s="241"/>
      <c r="R461" s="239"/>
      <c r="S461" s="239"/>
      <c r="T461" s="239"/>
      <c r="U461" s="240"/>
      <c r="V461" s="238"/>
      <c r="W461" s="242"/>
      <c r="X461" s="239"/>
      <c r="Y461" s="239"/>
      <c r="Z461" s="239"/>
      <c r="AA461" s="239"/>
      <c r="AB461" s="239"/>
      <c r="AC461" s="239"/>
      <c r="AD461" s="239"/>
      <c r="AE461" s="239"/>
      <c r="AF461" s="239"/>
      <c r="AG461" s="239"/>
      <c r="AH461" s="239"/>
      <c r="AI461" s="239"/>
      <c r="AJ461" s="239"/>
      <c r="AK461" s="239"/>
      <c r="AL461" s="239"/>
      <c r="AM461" s="4"/>
      <c r="AN461" s="4"/>
    </row>
    <row r="462" ht="15.75" customHeight="1">
      <c r="A462" s="4"/>
      <c r="B462" s="4"/>
      <c r="C462" s="12"/>
      <c r="D462" s="4"/>
      <c r="E462" s="4"/>
      <c r="F462" s="4"/>
      <c r="G462" s="4"/>
      <c r="H462" s="4"/>
      <c r="I462" s="237"/>
      <c r="J462" s="238"/>
      <c r="K462" s="238"/>
      <c r="L462" s="239"/>
      <c r="M462" s="239"/>
      <c r="N462" s="239"/>
      <c r="O462" s="240"/>
      <c r="P462" s="238"/>
      <c r="Q462" s="241"/>
      <c r="R462" s="239"/>
      <c r="S462" s="239"/>
      <c r="T462" s="239"/>
      <c r="U462" s="240"/>
      <c r="V462" s="238"/>
      <c r="W462" s="242"/>
      <c r="X462" s="239"/>
      <c r="Y462" s="239"/>
      <c r="Z462" s="239"/>
      <c r="AA462" s="239"/>
      <c r="AB462" s="239"/>
      <c r="AC462" s="239"/>
      <c r="AD462" s="239"/>
      <c r="AE462" s="239"/>
      <c r="AF462" s="239"/>
      <c r="AG462" s="239"/>
      <c r="AH462" s="239"/>
      <c r="AI462" s="239"/>
      <c r="AJ462" s="239"/>
      <c r="AK462" s="239"/>
      <c r="AL462" s="239"/>
      <c r="AM462" s="4"/>
      <c r="AN462" s="4"/>
    </row>
    <row r="463" ht="15.75" customHeight="1">
      <c r="A463" s="4"/>
      <c r="B463" s="4"/>
      <c r="C463" s="12"/>
      <c r="D463" s="4"/>
      <c r="E463" s="4"/>
      <c r="F463" s="4"/>
      <c r="G463" s="4"/>
      <c r="H463" s="4"/>
      <c r="I463" s="237"/>
      <c r="J463" s="238"/>
      <c r="K463" s="238"/>
      <c r="L463" s="239"/>
      <c r="M463" s="239"/>
      <c r="N463" s="239"/>
      <c r="O463" s="240"/>
      <c r="P463" s="238"/>
      <c r="Q463" s="241"/>
      <c r="R463" s="239"/>
      <c r="S463" s="239"/>
      <c r="T463" s="239"/>
      <c r="U463" s="240"/>
      <c r="V463" s="238"/>
      <c r="W463" s="242"/>
      <c r="X463" s="239"/>
      <c r="Y463" s="239"/>
      <c r="Z463" s="239"/>
      <c r="AA463" s="239"/>
      <c r="AB463" s="239"/>
      <c r="AC463" s="239"/>
      <c r="AD463" s="239"/>
      <c r="AE463" s="239"/>
      <c r="AF463" s="239"/>
      <c r="AG463" s="239"/>
      <c r="AH463" s="239"/>
      <c r="AI463" s="239"/>
      <c r="AJ463" s="239"/>
      <c r="AK463" s="239"/>
      <c r="AL463" s="239"/>
      <c r="AM463" s="4"/>
      <c r="AN463" s="4"/>
    </row>
    <row r="464" ht="15.75" customHeight="1">
      <c r="A464" s="4"/>
      <c r="B464" s="4"/>
      <c r="C464" s="12"/>
      <c r="D464" s="4"/>
      <c r="E464" s="4"/>
      <c r="F464" s="4"/>
      <c r="G464" s="4"/>
      <c r="H464" s="4"/>
      <c r="I464" s="237"/>
      <c r="J464" s="238"/>
      <c r="K464" s="238"/>
      <c r="L464" s="239"/>
      <c r="M464" s="239"/>
      <c r="N464" s="239"/>
      <c r="O464" s="240"/>
      <c r="P464" s="238"/>
      <c r="Q464" s="241"/>
      <c r="R464" s="239"/>
      <c r="S464" s="239"/>
      <c r="T464" s="239"/>
      <c r="U464" s="240"/>
      <c r="V464" s="238"/>
      <c r="W464" s="242"/>
      <c r="X464" s="239"/>
      <c r="Y464" s="239"/>
      <c r="Z464" s="239"/>
      <c r="AA464" s="239"/>
      <c r="AB464" s="239"/>
      <c r="AC464" s="239"/>
      <c r="AD464" s="239"/>
      <c r="AE464" s="239"/>
      <c r="AF464" s="239"/>
      <c r="AG464" s="239"/>
      <c r="AH464" s="239"/>
      <c r="AI464" s="239"/>
      <c r="AJ464" s="239"/>
      <c r="AK464" s="239"/>
      <c r="AL464" s="239"/>
      <c r="AM464" s="4"/>
      <c r="AN464" s="4"/>
    </row>
    <row r="465" ht="15.75" customHeight="1">
      <c r="A465" s="4"/>
      <c r="B465" s="4"/>
      <c r="C465" s="12"/>
      <c r="D465" s="4"/>
      <c r="E465" s="4"/>
      <c r="F465" s="4"/>
      <c r="G465" s="4"/>
      <c r="H465" s="4"/>
      <c r="I465" s="237"/>
      <c r="J465" s="238"/>
      <c r="K465" s="238"/>
      <c r="L465" s="239"/>
      <c r="M465" s="239"/>
      <c r="N465" s="239"/>
      <c r="O465" s="240"/>
      <c r="P465" s="238"/>
      <c r="Q465" s="241"/>
      <c r="R465" s="239"/>
      <c r="S465" s="239"/>
      <c r="T465" s="239"/>
      <c r="U465" s="240"/>
      <c r="V465" s="238"/>
      <c r="W465" s="242"/>
      <c r="X465" s="239"/>
      <c r="Y465" s="239"/>
      <c r="Z465" s="239"/>
      <c r="AA465" s="239"/>
      <c r="AB465" s="239"/>
      <c r="AC465" s="239"/>
      <c r="AD465" s="239"/>
      <c r="AE465" s="239"/>
      <c r="AF465" s="239"/>
      <c r="AG465" s="239"/>
      <c r="AH465" s="239"/>
      <c r="AI465" s="239"/>
      <c r="AJ465" s="239"/>
      <c r="AK465" s="239"/>
      <c r="AL465" s="239"/>
      <c r="AM465" s="4"/>
      <c r="AN465" s="4"/>
    </row>
    <row r="466" ht="15.75" customHeight="1">
      <c r="A466" s="4"/>
      <c r="B466" s="4"/>
      <c r="C466" s="12"/>
      <c r="D466" s="4"/>
      <c r="E466" s="4"/>
      <c r="F466" s="4"/>
      <c r="G466" s="4"/>
      <c r="H466" s="4"/>
      <c r="I466" s="237"/>
      <c r="J466" s="238"/>
      <c r="K466" s="238"/>
      <c r="L466" s="239"/>
      <c r="M466" s="239"/>
      <c r="N466" s="239"/>
      <c r="O466" s="240"/>
      <c r="P466" s="238"/>
      <c r="Q466" s="241"/>
      <c r="R466" s="239"/>
      <c r="S466" s="239"/>
      <c r="T466" s="239"/>
      <c r="U466" s="240"/>
      <c r="V466" s="238"/>
      <c r="W466" s="242"/>
      <c r="X466" s="239"/>
      <c r="Y466" s="239"/>
      <c r="Z466" s="239"/>
      <c r="AA466" s="239"/>
      <c r="AB466" s="239"/>
      <c r="AC466" s="239"/>
      <c r="AD466" s="239"/>
      <c r="AE466" s="239"/>
      <c r="AF466" s="239"/>
      <c r="AG466" s="239"/>
      <c r="AH466" s="239"/>
      <c r="AI466" s="239"/>
      <c r="AJ466" s="239"/>
      <c r="AK466" s="239"/>
      <c r="AL466" s="239"/>
      <c r="AM466" s="4"/>
      <c r="AN466" s="4"/>
    </row>
    <row r="467" ht="15.75" customHeight="1">
      <c r="A467" s="4"/>
      <c r="B467" s="4"/>
      <c r="C467" s="12"/>
      <c r="D467" s="4"/>
      <c r="E467" s="4"/>
      <c r="F467" s="4"/>
      <c r="G467" s="4"/>
      <c r="H467" s="4"/>
      <c r="I467" s="237"/>
      <c r="J467" s="238"/>
      <c r="K467" s="238"/>
      <c r="L467" s="239"/>
      <c r="M467" s="239"/>
      <c r="N467" s="239"/>
      <c r="O467" s="240"/>
      <c r="P467" s="238"/>
      <c r="Q467" s="241"/>
      <c r="R467" s="239"/>
      <c r="S467" s="239"/>
      <c r="T467" s="239"/>
      <c r="U467" s="240"/>
      <c r="V467" s="238"/>
      <c r="W467" s="242"/>
      <c r="X467" s="239"/>
      <c r="Y467" s="239"/>
      <c r="Z467" s="239"/>
      <c r="AA467" s="239"/>
      <c r="AB467" s="239"/>
      <c r="AC467" s="239"/>
      <c r="AD467" s="239"/>
      <c r="AE467" s="239"/>
      <c r="AF467" s="239"/>
      <c r="AG467" s="239"/>
      <c r="AH467" s="239"/>
      <c r="AI467" s="239"/>
      <c r="AJ467" s="239"/>
      <c r="AK467" s="239"/>
      <c r="AL467" s="239"/>
      <c r="AM467" s="4"/>
      <c r="AN467" s="4"/>
    </row>
    <row r="468" ht="15.75" customHeight="1">
      <c r="A468" s="4"/>
      <c r="B468" s="4"/>
      <c r="C468" s="12"/>
      <c r="D468" s="4"/>
      <c r="E468" s="4"/>
      <c r="F468" s="4"/>
      <c r="G468" s="4"/>
      <c r="H468" s="4"/>
      <c r="I468" s="237"/>
      <c r="J468" s="238"/>
      <c r="K468" s="238"/>
      <c r="L468" s="239"/>
      <c r="M468" s="239"/>
      <c r="N468" s="239"/>
      <c r="O468" s="240"/>
      <c r="P468" s="238"/>
      <c r="Q468" s="241"/>
      <c r="R468" s="239"/>
      <c r="S468" s="239"/>
      <c r="T468" s="239"/>
      <c r="U468" s="240"/>
      <c r="V468" s="238"/>
      <c r="W468" s="242"/>
      <c r="X468" s="239"/>
      <c r="Y468" s="239"/>
      <c r="Z468" s="239"/>
      <c r="AA468" s="239"/>
      <c r="AB468" s="239"/>
      <c r="AC468" s="239"/>
      <c r="AD468" s="239"/>
      <c r="AE468" s="239"/>
      <c r="AF468" s="239"/>
      <c r="AG468" s="239"/>
      <c r="AH468" s="239"/>
      <c r="AI468" s="239"/>
      <c r="AJ468" s="239"/>
      <c r="AK468" s="239"/>
      <c r="AL468" s="239"/>
      <c r="AM468" s="4"/>
      <c r="AN468" s="4"/>
    </row>
    <row r="469" ht="15.75" customHeight="1">
      <c r="A469" s="4"/>
      <c r="B469" s="4"/>
      <c r="C469" s="12"/>
      <c r="D469" s="4"/>
      <c r="E469" s="4"/>
      <c r="F469" s="4"/>
      <c r="G469" s="4"/>
      <c r="H469" s="4"/>
      <c r="I469" s="237"/>
      <c r="J469" s="238"/>
      <c r="K469" s="238"/>
      <c r="L469" s="239"/>
      <c r="M469" s="239"/>
      <c r="N469" s="239"/>
      <c r="O469" s="240"/>
      <c r="P469" s="238"/>
      <c r="Q469" s="241"/>
      <c r="R469" s="239"/>
      <c r="S469" s="239"/>
      <c r="T469" s="239"/>
      <c r="U469" s="240"/>
      <c r="V469" s="238"/>
      <c r="W469" s="242"/>
      <c r="X469" s="239"/>
      <c r="Y469" s="239"/>
      <c r="Z469" s="239"/>
      <c r="AA469" s="239"/>
      <c r="AB469" s="239"/>
      <c r="AC469" s="239"/>
      <c r="AD469" s="239"/>
      <c r="AE469" s="239"/>
      <c r="AF469" s="239"/>
      <c r="AG469" s="239"/>
      <c r="AH469" s="239"/>
      <c r="AI469" s="239"/>
      <c r="AJ469" s="239"/>
      <c r="AK469" s="239"/>
      <c r="AL469" s="239"/>
      <c r="AM469" s="4"/>
      <c r="AN469" s="4"/>
    </row>
    <row r="470" ht="15.75" customHeight="1">
      <c r="A470" s="4"/>
      <c r="B470" s="4"/>
      <c r="C470" s="12"/>
      <c r="D470" s="4"/>
      <c r="E470" s="4"/>
      <c r="F470" s="4"/>
      <c r="G470" s="4"/>
      <c r="H470" s="4"/>
      <c r="I470" s="237"/>
      <c r="J470" s="238"/>
      <c r="K470" s="238"/>
      <c r="L470" s="239"/>
      <c r="M470" s="239"/>
      <c r="N470" s="239"/>
      <c r="O470" s="240"/>
      <c r="P470" s="238"/>
      <c r="Q470" s="241"/>
      <c r="R470" s="239"/>
      <c r="S470" s="239"/>
      <c r="T470" s="239"/>
      <c r="U470" s="240"/>
      <c r="V470" s="238"/>
      <c r="W470" s="242"/>
      <c r="X470" s="239"/>
      <c r="Y470" s="239"/>
      <c r="Z470" s="239"/>
      <c r="AA470" s="239"/>
      <c r="AB470" s="239"/>
      <c r="AC470" s="239"/>
      <c r="AD470" s="239"/>
      <c r="AE470" s="239"/>
      <c r="AF470" s="239"/>
      <c r="AG470" s="239"/>
      <c r="AH470" s="239"/>
      <c r="AI470" s="239"/>
      <c r="AJ470" s="239"/>
      <c r="AK470" s="239"/>
      <c r="AL470" s="239"/>
      <c r="AM470" s="4"/>
      <c r="AN470" s="4"/>
    </row>
    <row r="471" ht="15.75" customHeight="1">
      <c r="A471" s="4"/>
      <c r="B471" s="4"/>
      <c r="C471" s="12"/>
      <c r="D471" s="4"/>
      <c r="E471" s="4"/>
      <c r="F471" s="4"/>
      <c r="G471" s="4"/>
      <c r="H471" s="4"/>
      <c r="I471" s="237"/>
      <c r="J471" s="238"/>
      <c r="K471" s="238"/>
      <c r="L471" s="239"/>
      <c r="M471" s="239"/>
      <c r="N471" s="239"/>
      <c r="O471" s="240"/>
      <c r="P471" s="238"/>
      <c r="Q471" s="241"/>
      <c r="R471" s="239"/>
      <c r="S471" s="239"/>
      <c r="T471" s="239"/>
      <c r="U471" s="240"/>
      <c r="V471" s="238"/>
      <c r="W471" s="242"/>
      <c r="X471" s="239"/>
      <c r="Y471" s="239"/>
      <c r="Z471" s="239"/>
      <c r="AA471" s="239"/>
      <c r="AB471" s="239"/>
      <c r="AC471" s="239"/>
      <c r="AD471" s="239"/>
      <c r="AE471" s="239"/>
      <c r="AF471" s="239"/>
      <c r="AG471" s="239"/>
      <c r="AH471" s="239"/>
      <c r="AI471" s="239"/>
      <c r="AJ471" s="239"/>
      <c r="AK471" s="239"/>
      <c r="AL471" s="239"/>
      <c r="AM471" s="4"/>
      <c r="AN471" s="4"/>
    </row>
    <row r="472" ht="15.75" customHeight="1">
      <c r="A472" s="4"/>
      <c r="B472" s="4"/>
      <c r="C472" s="12"/>
      <c r="D472" s="4"/>
      <c r="E472" s="4"/>
      <c r="F472" s="4"/>
      <c r="G472" s="4"/>
      <c r="H472" s="4"/>
      <c r="I472" s="237"/>
      <c r="J472" s="238"/>
      <c r="K472" s="238"/>
      <c r="L472" s="239"/>
      <c r="M472" s="239"/>
      <c r="N472" s="239"/>
      <c r="O472" s="240"/>
      <c r="P472" s="238"/>
      <c r="Q472" s="241"/>
      <c r="R472" s="239"/>
      <c r="S472" s="239"/>
      <c r="T472" s="239"/>
      <c r="U472" s="240"/>
      <c r="V472" s="238"/>
      <c r="W472" s="242"/>
      <c r="X472" s="239"/>
      <c r="Y472" s="239"/>
      <c r="Z472" s="239"/>
      <c r="AA472" s="239"/>
      <c r="AB472" s="239"/>
      <c r="AC472" s="239"/>
      <c r="AD472" s="239"/>
      <c r="AE472" s="239"/>
      <c r="AF472" s="239"/>
      <c r="AG472" s="239"/>
      <c r="AH472" s="239"/>
      <c r="AI472" s="239"/>
      <c r="AJ472" s="239"/>
      <c r="AK472" s="239"/>
      <c r="AL472" s="239"/>
      <c r="AM472" s="4"/>
      <c r="AN472" s="4"/>
    </row>
    <row r="473" ht="15.75" customHeight="1">
      <c r="A473" s="4"/>
      <c r="B473" s="4"/>
      <c r="C473" s="12"/>
      <c r="D473" s="4"/>
      <c r="E473" s="4"/>
      <c r="F473" s="4"/>
      <c r="G473" s="4"/>
      <c r="H473" s="4"/>
      <c r="I473" s="237"/>
      <c r="J473" s="238"/>
      <c r="K473" s="238"/>
      <c r="L473" s="239"/>
      <c r="M473" s="239"/>
      <c r="N473" s="239"/>
      <c r="O473" s="240"/>
      <c r="P473" s="238"/>
      <c r="Q473" s="241"/>
      <c r="R473" s="239"/>
      <c r="S473" s="239"/>
      <c r="T473" s="239"/>
      <c r="U473" s="240"/>
      <c r="V473" s="238"/>
      <c r="W473" s="242"/>
      <c r="X473" s="239"/>
      <c r="Y473" s="239"/>
      <c r="Z473" s="239"/>
      <c r="AA473" s="239"/>
      <c r="AB473" s="239"/>
      <c r="AC473" s="239"/>
      <c r="AD473" s="239"/>
      <c r="AE473" s="239"/>
      <c r="AF473" s="239"/>
      <c r="AG473" s="239"/>
      <c r="AH473" s="239"/>
      <c r="AI473" s="239"/>
      <c r="AJ473" s="239"/>
      <c r="AK473" s="239"/>
      <c r="AL473" s="239"/>
      <c r="AM473" s="4"/>
      <c r="AN473" s="4"/>
    </row>
    <row r="474" ht="15.75" customHeight="1">
      <c r="A474" s="4"/>
      <c r="B474" s="4"/>
      <c r="C474" s="12"/>
      <c r="D474" s="4"/>
      <c r="E474" s="4"/>
      <c r="F474" s="4"/>
      <c r="G474" s="4"/>
      <c r="H474" s="4"/>
      <c r="I474" s="237"/>
      <c r="J474" s="238"/>
      <c r="K474" s="238"/>
      <c r="L474" s="239"/>
      <c r="M474" s="239"/>
      <c r="N474" s="239"/>
      <c r="O474" s="240"/>
      <c r="P474" s="238"/>
      <c r="Q474" s="241"/>
      <c r="R474" s="239"/>
      <c r="S474" s="239"/>
      <c r="T474" s="239"/>
      <c r="U474" s="240"/>
      <c r="V474" s="238"/>
      <c r="W474" s="242"/>
      <c r="X474" s="239"/>
      <c r="Y474" s="239"/>
      <c r="Z474" s="239"/>
      <c r="AA474" s="239"/>
      <c r="AB474" s="239"/>
      <c r="AC474" s="239"/>
      <c r="AD474" s="239"/>
      <c r="AE474" s="239"/>
      <c r="AF474" s="239"/>
      <c r="AG474" s="239"/>
      <c r="AH474" s="239"/>
      <c r="AI474" s="239"/>
      <c r="AJ474" s="239"/>
      <c r="AK474" s="239"/>
      <c r="AL474" s="239"/>
      <c r="AM474" s="4"/>
      <c r="AN474" s="4"/>
    </row>
    <row r="475" ht="15.75" customHeight="1">
      <c r="A475" s="4"/>
      <c r="B475" s="4"/>
      <c r="C475" s="12"/>
      <c r="D475" s="4"/>
      <c r="E475" s="4"/>
      <c r="F475" s="4"/>
      <c r="G475" s="4"/>
      <c r="H475" s="4"/>
      <c r="I475" s="237"/>
      <c r="J475" s="238"/>
      <c r="K475" s="238"/>
      <c r="L475" s="239"/>
      <c r="M475" s="239"/>
      <c r="N475" s="239"/>
      <c r="O475" s="240"/>
      <c r="P475" s="238"/>
      <c r="Q475" s="241"/>
      <c r="R475" s="239"/>
      <c r="S475" s="239"/>
      <c r="T475" s="239"/>
      <c r="U475" s="240"/>
      <c r="V475" s="238"/>
      <c r="W475" s="242"/>
      <c r="X475" s="239"/>
      <c r="Y475" s="239"/>
      <c r="Z475" s="239"/>
      <c r="AA475" s="239"/>
      <c r="AB475" s="239"/>
      <c r="AC475" s="239"/>
      <c r="AD475" s="239"/>
      <c r="AE475" s="239"/>
      <c r="AF475" s="239"/>
      <c r="AG475" s="239"/>
      <c r="AH475" s="239"/>
      <c r="AI475" s="239"/>
      <c r="AJ475" s="239"/>
      <c r="AK475" s="239"/>
      <c r="AL475" s="239"/>
      <c r="AM475" s="4"/>
      <c r="AN475" s="4"/>
    </row>
    <row r="476" ht="15.75" customHeight="1">
      <c r="A476" s="4"/>
      <c r="B476" s="4"/>
      <c r="C476" s="12"/>
      <c r="D476" s="4"/>
      <c r="E476" s="4"/>
      <c r="F476" s="4"/>
      <c r="G476" s="4"/>
      <c r="H476" s="4"/>
      <c r="I476" s="237"/>
      <c r="J476" s="238"/>
      <c r="K476" s="238"/>
      <c r="L476" s="239"/>
      <c r="M476" s="239"/>
      <c r="N476" s="239"/>
      <c r="O476" s="240"/>
      <c r="P476" s="238"/>
      <c r="Q476" s="241"/>
      <c r="R476" s="239"/>
      <c r="S476" s="239"/>
      <c r="T476" s="239"/>
      <c r="U476" s="240"/>
      <c r="V476" s="238"/>
      <c r="W476" s="242"/>
      <c r="X476" s="239"/>
      <c r="Y476" s="239"/>
      <c r="Z476" s="239"/>
      <c r="AA476" s="239"/>
      <c r="AB476" s="239"/>
      <c r="AC476" s="239"/>
      <c r="AD476" s="239"/>
      <c r="AE476" s="239"/>
      <c r="AF476" s="239"/>
      <c r="AG476" s="239"/>
      <c r="AH476" s="239"/>
      <c r="AI476" s="239"/>
      <c r="AJ476" s="239"/>
      <c r="AK476" s="239"/>
      <c r="AL476" s="239"/>
      <c r="AM476" s="4"/>
      <c r="AN476" s="4"/>
    </row>
    <row r="477" ht="15.75" customHeight="1">
      <c r="A477" s="4"/>
      <c r="B477" s="4"/>
      <c r="C477" s="12"/>
      <c r="D477" s="4"/>
      <c r="E477" s="4"/>
      <c r="F477" s="4"/>
      <c r="G477" s="4"/>
      <c r="H477" s="4"/>
      <c r="I477" s="237"/>
      <c r="J477" s="238"/>
      <c r="K477" s="238"/>
      <c r="L477" s="239"/>
      <c r="M477" s="239"/>
      <c r="N477" s="239"/>
      <c r="O477" s="240"/>
      <c r="P477" s="238"/>
      <c r="Q477" s="241"/>
      <c r="R477" s="239"/>
      <c r="S477" s="239"/>
      <c r="T477" s="239"/>
      <c r="U477" s="240"/>
      <c r="V477" s="238"/>
      <c r="W477" s="242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4"/>
      <c r="AN477" s="4"/>
    </row>
    <row r="478" ht="15.75" customHeight="1">
      <c r="A478" s="4"/>
      <c r="B478" s="4"/>
      <c r="C478" s="12"/>
      <c r="D478" s="4"/>
      <c r="E478" s="4"/>
      <c r="F478" s="4"/>
      <c r="G478" s="4"/>
      <c r="H478" s="4"/>
      <c r="I478" s="237"/>
      <c r="J478" s="238"/>
      <c r="K478" s="238"/>
      <c r="L478" s="239"/>
      <c r="M478" s="239"/>
      <c r="N478" s="239"/>
      <c r="O478" s="240"/>
      <c r="P478" s="238"/>
      <c r="Q478" s="241"/>
      <c r="R478" s="239"/>
      <c r="S478" s="239"/>
      <c r="T478" s="239"/>
      <c r="U478" s="240"/>
      <c r="V478" s="238"/>
      <c r="W478" s="242"/>
      <c r="X478" s="239"/>
      <c r="Y478" s="239"/>
      <c r="Z478" s="239"/>
      <c r="AA478" s="239"/>
      <c r="AB478" s="239"/>
      <c r="AC478" s="239"/>
      <c r="AD478" s="239"/>
      <c r="AE478" s="239"/>
      <c r="AF478" s="239"/>
      <c r="AG478" s="239"/>
      <c r="AH478" s="239"/>
      <c r="AI478" s="239"/>
      <c r="AJ478" s="239"/>
      <c r="AK478" s="239"/>
      <c r="AL478" s="239"/>
      <c r="AM478" s="4"/>
      <c r="AN478" s="4"/>
    </row>
    <row r="479" ht="15.75" customHeight="1">
      <c r="A479" s="4"/>
      <c r="B479" s="4"/>
      <c r="C479" s="12"/>
      <c r="D479" s="4"/>
      <c r="E479" s="4"/>
      <c r="F479" s="4"/>
      <c r="G479" s="4"/>
      <c r="H479" s="4"/>
      <c r="I479" s="237"/>
      <c r="J479" s="238"/>
      <c r="K479" s="238"/>
      <c r="L479" s="239"/>
      <c r="M479" s="239"/>
      <c r="N479" s="239"/>
      <c r="O479" s="240"/>
      <c r="P479" s="238"/>
      <c r="Q479" s="241"/>
      <c r="R479" s="239"/>
      <c r="S479" s="239"/>
      <c r="T479" s="239"/>
      <c r="U479" s="240"/>
      <c r="V479" s="238"/>
      <c r="W479" s="242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4"/>
      <c r="AN479" s="4"/>
    </row>
    <row r="480" ht="15.75" customHeight="1">
      <c r="A480" s="4"/>
      <c r="B480" s="4"/>
      <c r="C480" s="12"/>
      <c r="D480" s="4"/>
      <c r="E480" s="4"/>
      <c r="F480" s="4"/>
      <c r="G480" s="4"/>
      <c r="H480" s="4"/>
      <c r="I480" s="237"/>
      <c r="J480" s="238"/>
      <c r="K480" s="238"/>
      <c r="L480" s="239"/>
      <c r="M480" s="239"/>
      <c r="N480" s="239"/>
      <c r="O480" s="240"/>
      <c r="P480" s="238"/>
      <c r="Q480" s="241"/>
      <c r="R480" s="239"/>
      <c r="S480" s="239"/>
      <c r="T480" s="239"/>
      <c r="U480" s="240"/>
      <c r="V480" s="238"/>
      <c r="W480" s="242"/>
      <c r="X480" s="239"/>
      <c r="Y480" s="239"/>
      <c r="Z480" s="239"/>
      <c r="AA480" s="239"/>
      <c r="AB480" s="239"/>
      <c r="AC480" s="239"/>
      <c r="AD480" s="239"/>
      <c r="AE480" s="239"/>
      <c r="AF480" s="239"/>
      <c r="AG480" s="239"/>
      <c r="AH480" s="239"/>
      <c r="AI480" s="239"/>
      <c r="AJ480" s="239"/>
      <c r="AK480" s="239"/>
      <c r="AL480" s="239"/>
      <c r="AM480" s="4"/>
      <c r="AN480" s="4"/>
    </row>
    <row r="481" ht="15.75" customHeight="1">
      <c r="A481" s="4"/>
      <c r="B481" s="4"/>
      <c r="C481" s="12"/>
      <c r="D481" s="4"/>
      <c r="E481" s="4"/>
      <c r="F481" s="4"/>
      <c r="G481" s="4"/>
      <c r="H481" s="4"/>
      <c r="I481" s="237"/>
      <c r="J481" s="238"/>
      <c r="K481" s="238"/>
      <c r="L481" s="239"/>
      <c r="M481" s="239"/>
      <c r="N481" s="239"/>
      <c r="O481" s="240"/>
      <c r="P481" s="238"/>
      <c r="Q481" s="241"/>
      <c r="R481" s="239"/>
      <c r="S481" s="239"/>
      <c r="T481" s="239"/>
      <c r="U481" s="240"/>
      <c r="V481" s="238"/>
      <c r="W481" s="242"/>
      <c r="X481" s="239"/>
      <c r="Y481" s="239"/>
      <c r="Z481" s="239"/>
      <c r="AA481" s="239"/>
      <c r="AB481" s="239"/>
      <c r="AC481" s="239"/>
      <c r="AD481" s="239"/>
      <c r="AE481" s="239"/>
      <c r="AF481" s="239"/>
      <c r="AG481" s="239"/>
      <c r="AH481" s="239"/>
      <c r="AI481" s="239"/>
      <c r="AJ481" s="239"/>
      <c r="AK481" s="239"/>
      <c r="AL481" s="239"/>
      <c r="AM481" s="4"/>
      <c r="AN481" s="4"/>
    </row>
    <row r="482" ht="15.75" customHeight="1">
      <c r="A482" s="4"/>
      <c r="B482" s="4"/>
      <c r="C482" s="12"/>
      <c r="D482" s="4"/>
      <c r="E482" s="4"/>
      <c r="F482" s="4"/>
      <c r="G482" s="4"/>
      <c r="H482" s="4"/>
      <c r="I482" s="237"/>
      <c r="J482" s="238"/>
      <c r="K482" s="238"/>
      <c r="L482" s="239"/>
      <c r="M482" s="239"/>
      <c r="N482" s="239"/>
      <c r="O482" s="240"/>
      <c r="P482" s="238"/>
      <c r="Q482" s="241"/>
      <c r="R482" s="239"/>
      <c r="S482" s="239"/>
      <c r="T482" s="239"/>
      <c r="U482" s="240"/>
      <c r="V482" s="238"/>
      <c r="W482" s="242"/>
      <c r="X482" s="239"/>
      <c r="Y482" s="239"/>
      <c r="Z482" s="239"/>
      <c r="AA482" s="239"/>
      <c r="AB482" s="239"/>
      <c r="AC482" s="239"/>
      <c r="AD482" s="239"/>
      <c r="AE482" s="239"/>
      <c r="AF482" s="239"/>
      <c r="AG482" s="239"/>
      <c r="AH482" s="239"/>
      <c r="AI482" s="239"/>
      <c r="AJ482" s="239"/>
      <c r="AK482" s="239"/>
      <c r="AL482" s="239"/>
      <c r="AM482" s="4"/>
      <c r="AN482" s="4"/>
    </row>
    <row r="483" ht="15.75" customHeight="1">
      <c r="A483" s="4"/>
      <c r="B483" s="4"/>
      <c r="C483" s="12"/>
      <c r="D483" s="4"/>
      <c r="E483" s="4"/>
      <c r="F483" s="4"/>
      <c r="G483" s="4"/>
      <c r="H483" s="4"/>
      <c r="I483" s="237"/>
      <c r="J483" s="238"/>
      <c r="K483" s="238"/>
      <c r="L483" s="239"/>
      <c r="M483" s="239"/>
      <c r="N483" s="239"/>
      <c r="O483" s="240"/>
      <c r="P483" s="238"/>
      <c r="Q483" s="241"/>
      <c r="R483" s="239"/>
      <c r="S483" s="239"/>
      <c r="T483" s="239"/>
      <c r="U483" s="240"/>
      <c r="V483" s="238"/>
      <c r="W483" s="242"/>
      <c r="X483" s="239"/>
      <c r="Y483" s="239"/>
      <c r="Z483" s="239"/>
      <c r="AA483" s="239"/>
      <c r="AB483" s="239"/>
      <c r="AC483" s="239"/>
      <c r="AD483" s="239"/>
      <c r="AE483" s="239"/>
      <c r="AF483" s="239"/>
      <c r="AG483" s="239"/>
      <c r="AH483" s="239"/>
      <c r="AI483" s="239"/>
      <c r="AJ483" s="239"/>
      <c r="AK483" s="239"/>
      <c r="AL483" s="239"/>
      <c r="AM483" s="4"/>
      <c r="AN483" s="4"/>
    </row>
    <row r="484" ht="15.75" customHeight="1">
      <c r="A484" s="4"/>
      <c r="B484" s="4"/>
      <c r="C484" s="12"/>
      <c r="D484" s="4"/>
      <c r="E484" s="4"/>
      <c r="F484" s="4"/>
      <c r="G484" s="4"/>
      <c r="H484" s="4"/>
      <c r="I484" s="237"/>
      <c r="J484" s="238"/>
      <c r="K484" s="238"/>
      <c r="L484" s="239"/>
      <c r="M484" s="239"/>
      <c r="N484" s="239"/>
      <c r="O484" s="240"/>
      <c r="P484" s="238"/>
      <c r="Q484" s="241"/>
      <c r="R484" s="239"/>
      <c r="S484" s="239"/>
      <c r="T484" s="239"/>
      <c r="U484" s="240"/>
      <c r="V484" s="238"/>
      <c r="W484" s="242"/>
      <c r="X484" s="239"/>
      <c r="Y484" s="239"/>
      <c r="Z484" s="239"/>
      <c r="AA484" s="239"/>
      <c r="AB484" s="239"/>
      <c r="AC484" s="239"/>
      <c r="AD484" s="239"/>
      <c r="AE484" s="239"/>
      <c r="AF484" s="239"/>
      <c r="AG484" s="239"/>
      <c r="AH484" s="239"/>
      <c r="AI484" s="239"/>
      <c r="AJ484" s="239"/>
      <c r="AK484" s="239"/>
      <c r="AL484" s="239"/>
      <c r="AM484" s="4"/>
      <c r="AN484" s="4"/>
    </row>
    <row r="485" ht="15.75" customHeight="1">
      <c r="A485" s="4"/>
      <c r="B485" s="4"/>
      <c r="C485" s="12"/>
      <c r="D485" s="4"/>
      <c r="E485" s="4"/>
      <c r="F485" s="4"/>
      <c r="G485" s="4"/>
      <c r="H485" s="4"/>
      <c r="I485" s="237"/>
      <c r="J485" s="238"/>
      <c r="K485" s="238"/>
      <c r="L485" s="239"/>
      <c r="M485" s="239"/>
      <c r="N485" s="239"/>
      <c r="O485" s="240"/>
      <c r="P485" s="238"/>
      <c r="Q485" s="241"/>
      <c r="R485" s="239"/>
      <c r="S485" s="239"/>
      <c r="T485" s="239"/>
      <c r="U485" s="240"/>
      <c r="V485" s="238"/>
      <c r="W485" s="242"/>
      <c r="X485" s="239"/>
      <c r="Y485" s="239"/>
      <c r="Z485" s="239"/>
      <c r="AA485" s="239"/>
      <c r="AB485" s="239"/>
      <c r="AC485" s="239"/>
      <c r="AD485" s="239"/>
      <c r="AE485" s="239"/>
      <c r="AF485" s="239"/>
      <c r="AG485" s="239"/>
      <c r="AH485" s="239"/>
      <c r="AI485" s="239"/>
      <c r="AJ485" s="239"/>
      <c r="AK485" s="239"/>
      <c r="AL485" s="239"/>
      <c r="AM485" s="4"/>
      <c r="AN485" s="4"/>
    </row>
    <row r="486" ht="15.75" customHeight="1">
      <c r="A486" s="4"/>
      <c r="B486" s="4"/>
      <c r="C486" s="12"/>
      <c r="D486" s="4"/>
      <c r="E486" s="4"/>
      <c r="F486" s="4"/>
      <c r="G486" s="4"/>
      <c r="H486" s="4"/>
      <c r="I486" s="237"/>
      <c r="J486" s="238"/>
      <c r="K486" s="238"/>
      <c r="L486" s="239"/>
      <c r="M486" s="239"/>
      <c r="N486" s="239"/>
      <c r="O486" s="240"/>
      <c r="P486" s="238"/>
      <c r="Q486" s="241"/>
      <c r="R486" s="239"/>
      <c r="S486" s="239"/>
      <c r="T486" s="239"/>
      <c r="U486" s="240"/>
      <c r="V486" s="238"/>
      <c r="W486" s="242"/>
      <c r="X486" s="239"/>
      <c r="Y486" s="239"/>
      <c r="Z486" s="239"/>
      <c r="AA486" s="239"/>
      <c r="AB486" s="239"/>
      <c r="AC486" s="239"/>
      <c r="AD486" s="239"/>
      <c r="AE486" s="239"/>
      <c r="AF486" s="239"/>
      <c r="AG486" s="239"/>
      <c r="AH486" s="239"/>
      <c r="AI486" s="239"/>
      <c r="AJ486" s="239"/>
      <c r="AK486" s="239"/>
      <c r="AL486" s="239"/>
      <c r="AM486" s="4"/>
      <c r="AN486" s="4"/>
    </row>
    <row r="487" ht="15.75" customHeight="1">
      <c r="A487" s="4"/>
      <c r="B487" s="4"/>
      <c r="C487" s="12"/>
      <c r="D487" s="4"/>
      <c r="E487" s="4"/>
      <c r="F487" s="4"/>
      <c r="G487" s="4"/>
      <c r="H487" s="4"/>
      <c r="I487" s="237"/>
      <c r="J487" s="238"/>
      <c r="K487" s="238"/>
      <c r="L487" s="239"/>
      <c r="M487" s="239"/>
      <c r="N487" s="239"/>
      <c r="O487" s="240"/>
      <c r="P487" s="238"/>
      <c r="Q487" s="241"/>
      <c r="R487" s="239"/>
      <c r="S487" s="239"/>
      <c r="T487" s="239"/>
      <c r="U487" s="240"/>
      <c r="V487" s="238"/>
      <c r="W487" s="242"/>
      <c r="X487" s="239"/>
      <c r="Y487" s="239"/>
      <c r="Z487" s="239"/>
      <c r="AA487" s="239"/>
      <c r="AB487" s="239"/>
      <c r="AC487" s="239"/>
      <c r="AD487" s="239"/>
      <c r="AE487" s="239"/>
      <c r="AF487" s="239"/>
      <c r="AG487" s="239"/>
      <c r="AH487" s="239"/>
      <c r="AI487" s="239"/>
      <c r="AJ487" s="239"/>
      <c r="AK487" s="239"/>
      <c r="AL487" s="239"/>
      <c r="AM487" s="4"/>
      <c r="AN487" s="4"/>
    </row>
    <row r="488" ht="15.75" customHeight="1">
      <c r="A488" s="4"/>
      <c r="B488" s="4"/>
      <c r="C488" s="12"/>
      <c r="D488" s="4"/>
      <c r="E488" s="4"/>
      <c r="F488" s="4"/>
      <c r="G488" s="4"/>
      <c r="H488" s="4"/>
      <c r="I488" s="237"/>
      <c r="J488" s="238"/>
      <c r="K488" s="238"/>
      <c r="L488" s="239"/>
      <c r="M488" s="239"/>
      <c r="N488" s="239"/>
      <c r="O488" s="240"/>
      <c r="P488" s="238"/>
      <c r="Q488" s="241"/>
      <c r="R488" s="239"/>
      <c r="S488" s="239"/>
      <c r="T488" s="239"/>
      <c r="U488" s="240"/>
      <c r="V488" s="238"/>
      <c r="W488" s="242"/>
      <c r="X488" s="239"/>
      <c r="Y488" s="239"/>
      <c r="Z488" s="239"/>
      <c r="AA488" s="239"/>
      <c r="AB488" s="239"/>
      <c r="AC488" s="239"/>
      <c r="AD488" s="239"/>
      <c r="AE488" s="239"/>
      <c r="AF488" s="239"/>
      <c r="AG488" s="239"/>
      <c r="AH488" s="239"/>
      <c r="AI488" s="239"/>
      <c r="AJ488" s="239"/>
      <c r="AK488" s="239"/>
      <c r="AL488" s="239"/>
      <c r="AM488" s="4"/>
      <c r="AN488" s="4"/>
    </row>
    <row r="489" ht="15.75" customHeight="1">
      <c r="A489" s="4"/>
      <c r="B489" s="4"/>
      <c r="C489" s="12"/>
      <c r="D489" s="4"/>
      <c r="E489" s="4"/>
      <c r="F489" s="4"/>
      <c r="G489" s="4"/>
      <c r="H489" s="4"/>
      <c r="I489" s="237"/>
      <c r="J489" s="238"/>
      <c r="K489" s="238"/>
      <c r="L489" s="239"/>
      <c r="M489" s="239"/>
      <c r="N489" s="239"/>
      <c r="O489" s="240"/>
      <c r="P489" s="238"/>
      <c r="Q489" s="241"/>
      <c r="R489" s="239"/>
      <c r="S489" s="239"/>
      <c r="T489" s="239"/>
      <c r="U489" s="240"/>
      <c r="V489" s="238"/>
      <c r="W489" s="242"/>
      <c r="X489" s="239"/>
      <c r="Y489" s="239"/>
      <c r="Z489" s="239"/>
      <c r="AA489" s="239"/>
      <c r="AB489" s="239"/>
      <c r="AC489" s="239"/>
      <c r="AD489" s="239"/>
      <c r="AE489" s="239"/>
      <c r="AF489" s="239"/>
      <c r="AG489" s="239"/>
      <c r="AH489" s="239"/>
      <c r="AI489" s="239"/>
      <c r="AJ489" s="239"/>
      <c r="AK489" s="239"/>
      <c r="AL489" s="239"/>
      <c r="AM489" s="4"/>
      <c r="AN489" s="4"/>
    </row>
    <row r="490" ht="15.75" customHeight="1">
      <c r="A490" s="4"/>
      <c r="B490" s="4"/>
      <c r="C490" s="12"/>
      <c r="D490" s="4"/>
      <c r="E490" s="4"/>
      <c r="F490" s="4"/>
      <c r="G490" s="4"/>
      <c r="H490" s="4"/>
      <c r="I490" s="237"/>
      <c r="J490" s="238"/>
      <c r="K490" s="238"/>
      <c r="L490" s="239"/>
      <c r="M490" s="239"/>
      <c r="N490" s="239"/>
      <c r="O490" s="240"/>
      <c r="P490" s="238"/>
      <c r="Q490" s="241"/>
      <c r="R490" s="239"/>
      <c r="S490" s="239"/>
      <c r="T490" s="239"/>
      <c r="U490" s="240"/>
      <c r="V490" s="238"/>
      <c r="W490" s="242"/>
      <c r="X490" s="239"/>
      <c r="Y490" s="239"/>
      <c r="Z490" s="239"/>
      <c r="AA490" s="239"/>
      <c r="AB490" s="239"/>
      <c r="AC490" s="239"/>
      <c r="AD490" s="239"/>
      <c r="AE490" s="239"/>
      <c r="AF490" s="239"/>
      <c r="AG490" s="239"/>
      <c r="AH490" s="239"/>
      <c r="AI490" s="239"/>
      <c r="AJ490" s="239"/>
      <c r="AK490" s="239"/>
      <c r="AL490" s="239"/>
      <c r="AM490" s="4"/>
      <c r="AN490" s="4"/>
    </row>
    <row r="491" ht="15.75" customHeight="1">
      <c r="A491" s="4"/>
      <c r="B491" s="4"/>
      <c r="C491" s="12"/>
      <c r="D491" s="4"/>
      <c r="E491" s="4"/>
      <c r="F491" s="4"/>
      <c r="G491" s="4"/>
      <c r="H491" s="4"/>
      <c r="I491" s="237"/>
      <c r="J491" s="238"/>
      <c r="K491" s="238"/>
      <c r="L491" s="239"/>
      <c r="M491" s="239"/>
      <c r="N491" s="239"/>
      <c r="O491" s="240"/>
      <c r="P491" s="238"/>
      <c r="Q491" s="241"/>
      <c r="R491" s="239"/>
      <c r="S491" s="239"/>
      <c r="T491" s="239"/>
      <c r="U491" s="240"/>
      <c r="V491" s="238"/>
      <c r="W491" s="242"/>
      <c r="X491" s="239"/>
      <c r="Y491" s="239"/>
      <c r="Z491" s="239"/>
      <c r="AA491" s="239"/>
      <c r="AB491" s="239"/>
      <c r="AC491" s="239"/>
      <c r="AD491" s="239"/>
      <c r="AE491" s="239"/>
      <c r="AF491" s="239"/>
      <c r="AG491" s="239"/>
      <c r="AH491" s="239"/>
      <c r="AI491" s="239"/>
      <c r="AJ491" s="239"/>
      <c r="AK491" s="239"/>
      <c r="AL491" s="239"/>
      <c r="AM491" s="4"/>
      <c r="AN491" s="4"/>
    </row>
    <row r="492" ht="15.75" customHeight="1">
      <c r="A492" s="4"/>
      <c r="B492" s="4"/>
      <c r="C492" s="12"/>
      <c r="D492" s="4"/>
      <c r="E492" s="4"/>
      <c r="F492" s="4"/>
      <c r="G492" s="4"/>
      <c r="H492" s="4"/>
      <c r="I492" s="237"/>
      <c r="J492" s="238"/>
      <c r="K492" s="238"/>
      <c r="L492" s="239"/>
      <c r="M492" s="239"/>
      <c r="N492" s="239"/>
      <c r="O492" s="240"/>
      <c r="P492" s="238"/>
      <c r="Q492" s="241"/>
      <c r="R492" s="239"/>
      <c r="S492" s="239"/>
      <c r="T492" s="239"/>
      <c r="U492" s="240"/>
      <c r="V492" s="238"/>
      <c r="W492" s="242"/>
      <c r="X492" s="239"/>
      <c r="Y492" s="239"/>
      <c r="Z492" s="239"/>
      <c r="AA492" s="239"/>
      <c r="AB492" s="239"/>
      <c r="AC492" s="239"/>
      <c r="AD492" s="239"/>
      <c r="AE492" s="239"/>
      <c r="AF492" s="239"/>
      <c r="AG492" s="239"/>
      <c r="AH492" s="239"/>
      <c r="AI492" s="239"/>
      <c r="AJ492" s="239"/>
      <c r="AK492" s="239"/>
      <c r="AL492" s="239"/>
      <c r="AM492" s="4"/>
      <c r="AN492" s="4"/>
    </row>
    <row r="493" ht="15.75" customHeight="1">
      <c r="A493" s="4"/>
      <c r="B493" s="4"/>
      <c r="C493" s="12"/>
      <c r="D493" s="4"/>
      <c r="E493" s="4"/>
      <c r="F493" s="4"/>
      <c r="G493" s="4"/>
      <c r="H493" s="4"/>
      <c r="I493" s="237"/>
      <c r="J493" s="238"/>
      <c r="K493" s="238"/>
      <c r="L493" s="239"/>
      <c r="M493" s="239"/>
      <c r="N493" s="239"/>
      <c r="O493" s="240"/>
      <c r="P493" s="238"/>
      <c r="Q493" s="241"/>
      <c r="R493" s="239"/>
      <c r="S493" s="239"/>
      <c r="T493" s="239"/>
      <c r="U493" s="240"/>
      <c r="V493" s="238"/>
      <c r="W493" s="242"/>
      <c r="X493" s="239"/>
      <c r="Y493" s="239"/>
      <c r="Z493" s="239"/>
      <c r="AA493" s="239"/>
      <c r="AB493" s="239"/>
      <c r="AC493" s="239"/>
      <c r="AD493" s="239"/>
      <c r="AE493" s="239"/>
      <c r="AF493" s="239"/>
      <c r="AG493" s="239"/>
      <c r="AH493" s="239"/>
      <c r="AI493" s="239"/>
      <c r="AJ493" s="239"/>
      <c r="AK493" s="239"/>
      <c r="AL493" s="239"/>
      <c r="AM493" s="4"/>
      <c r="AN493" s="4"/>
    </row>
    <row r="494" ht="15.75" customHeight="1">
      <c r="A494" s="4"/>
      <c r="B494" s="4"/>
      <c r="C494" s="12"/>
      <c r="D494" s="4"/>
      <c r="E494" s="4"/>
      <c r="F494" s="4"/>
      <c r="G494" s="4"/>
      <c r="H494" s="4"/>
      <c r="I494" s="237"/>
      <c r="J494" s="238"/>
      <c r="K494" s="238"/>
      <c r="L494" s="239"/>
      <c r="M494" s="239"/>
      <c r="N494" s="239"/>
      <c r="O494" s="240"/>
      <c r="P494" s="238"/>
      <c r="Q494" s="241"/>
      <c r="R494" s="239"/>
      <c r="S494" s="239"/>
      <c r="T494" s="239"/>
      <c r="U494" s="240"/>
      <c r="V494" s="238"/>
      <c r="W494" s="242"/>
      <c r="X494" s="239"/>
      <c r="Y494" s="239"/>
      <c r="Z494" s="239"/>
      <c r="AA494" s="239"/>
      <c r="AB494" s="239"/>
      <c r="AC494" s="239"/>
      <c r="AD494" s="239"/>
      <c r="AE494" s="239"/>
      <c r="AF494" s="239"/>
      <c r="AG494" s="239"/>
      <c r="AH494" s="239"/>
      <c r="AI494" s="239"/>
      <c r="AJ494" s="239"/>
      <c r="AK494" s="239"/>
      <c r="AL494" s="239"/>
      <c r="AM494" s="4"/>
      <c r="AN494" s="4"/>
    </row>
    <row r="495" ht="15.75" customHeight="1">
      <c r="A495" s="4"/>
      <c r="B495" s="4"/>
      <c r="C495" s="12"/>
      <c r="D495" s="4"/>
      <c r="E495" s="4"/>
      <c r="F495" s="4"/>
      <c r="G495" s="4"/>
      <c r="H495" s="4"/>
      <c r="I495" s="237"/>
      <c r="J495" s="238"/>
      <c r="K495" s="238"/>
      <c r="L495" s="239"/>
      <c r="M495" s="239"/>
      <c r="N495" s="239"/>
      <c r="O495" s="240"/>
      <c r="P495" s="238"/>
      <c r="Q495" s="241"/>
      <c r="R495" s="239"/>
      <c r="S495" s="239"/>
      <c r="T495" s="239"/>
      <c r="U495" s="240"/>
      <c r="V495" s="238"/>
      <c r="W495" s="242"/>
      <c r="X495" s="239"/>
      <c r="Y495" s="239"/>
      <c r="Z495" s="239"/>
      <c r="AA495" s="239"/>
      <c r="AB495" s="239"/>
      <c r="AC495" s="239"/>
      <c r="AD495" s="239"/>
      <c r="AE495" s="239"/>
      <c r="AF495" s="239"/>
      <c r="AG495" s="239"/>
      <c r="AH495" s="239"/>
      <c r="AI495" s="239"/>
      <c r="AJ495" s="239"/>
      <c r="AK495" s="239"/>
      <c r="AL495" s="239"/>
      <c r="AM495" s="4"/>
      <c r="AN495" s="4"/>
    </row>
    <row r="496" ht="15.75" customHeight="1">
      <c r="A496" s="4"/>
      <c r="B496" s="4"/>
      <c r="C496" s="12"/>
      <c r="D496" s="4"/>
      <c r="E496" s="4"/>
      <c r="F496" s="4"/>
      <c r="G496" s="4"/>
      <c r="H496" s="4"/>
      <c r="I496" s="237"/>
      <c r="J496" s="238"/>
      <c r="K496" s="238"/>
      <c r="L496" s="239"/>
      <c r="M496" s="239"/>
      <c r="N496" s="239"/>
      <c r="O496" s="240"/>
      <c r="P496" s="238"/>
      <c r="Q496" s="241"/>
      <c r="R496" s="239"/>
      <c r="S496" s="239"/>
      <c r="T496" s="239"/>
      <c r="U496" s="240"/>
      <c r="V496" s="238"/>
      <c r="W496" s="242"/>
      <c r="X496" s="239"/>
      <c r="Y496" s="239"/>
      <c r="Z496" s="239"/>
      <c r="AA496" s="239"/>
      <c r="AB496" s="239"/>
      <c r="AC496" s="239"/>
      <c r="AD496" s="239"/>
      <c r="AE496" s="239"/>
      <c r="AF496" s="239"/>
      <c r="AG496" s="239"/>
      <c r="AH496" s="239"/>
      <c r="AI496" s="239"/>
      <c r="AJ496" s="239"/>
      <c r="AK496" s="239"/>
      <c r="AL496" s="239"/>
      <c r="AM496" s="4"/>
      <c r="AN496" s="4"/>
    </row>
    <row r="497" ht="15.75" customHeight="1">
      <c r="A497" s="4"/>
      <c r="B497" s="4"/>
      <c r="C497" s="12"/>
      <c r="D497" s="4"/>
      <c r="E497" s="4"/>
      <c r="F497" s="4"/>
      <c r="G497" s="4"/>
      <c r="H497" s="4"/>
      <c r="I497" s="237"/>
      <c r="J497" s="238"/>
      <c r="K497" s="238"/>
      <c r="L497" s="239"/>
      <c r="M497" s="239"/>
      <c r="N497" s="239"/>
      <c r="O497" s="240"/>
      <c r="P497" s="238"/>
      <c r="Q497" s="241"/>
      <c r="R497" s="239"/>
      <c r="S497" s="239"/>
      <c r="T497" s="239"/>
      <c r="U497" s="240"/>
      <c r="V497" s="238"/>
      <c r="W497" s="242"/>
      <c r="X497" s="239"/>
      <c r="Y497" s="239"/>
      <c r="Z497" s="239"/>
      <c r="AA497" s="239"/>
      <c r="AB497" s="239"/>
      <c r="AC497" s="239"/>
      <c r="AD497" s="239"/>
      <c r="AE497" s="239"/>
      <c r="AF497" s="239"/>
      <c r="AG497" s="239"/>
      <c r="AH497" s="239"/>
      <c r="AI497" s="239"/>
      <c r="AJ497" s="239"/>
      <c r="AK497" s="239"/>
      <c r="AL497" s="239"/>
      <c r="AM497" s="4"/>
      <c r="AN497" s="4"/>
    </row>
    <row r="498" ht="15.75" customHeight="1">
      <c r="A498" s="4"/>
      <c r="B498" s="4"/>
      <c r="C498" s="12"/>
      <c r="D498" s="4"/>
      <c r="E498" s="4"/>
      <c r="F498" s="4"/>
      <c r="G498" s="4"/>
      <c r="H498" s="4"/>
      <c r="I498" s="237"/>
      <c r="J498" s="238"/>
      <c r="K498" s="238"/>
      <c r="L498" s="239"/>
      <c r="M498" s="239"/>
      <c r="N498" s="239"/>
      <c r="O498" s="240"/>
      <c r="P498" s="238"/>
      <c r="Q498" s="241"/>
      <c r="R498" s="239"/>
      <c r="S498" s="239"/>
      <c r="T498" s="239"/>
      <c r="U498" s="240"/>
      <c r="V498" s="238"/>
      <c r="W498" s="242"/>
      <c r="X498" s="239"/>
      <c r="Y498" s="239"/>
      <c r="Z498" s="239"/>
      <c r="AA498" s="239"/>
      <c r="AB498" s="239"/>
      <c r="AC498" s="239"/>
      <c r="AD498" s="239"/>
      <c r="AE498" s="239"/>
      <c r="AF498" s="239"/>
      <c r="AG498" s="239"/>
      <c r="AH498" s="239"/>
      <c r="AI498" s="239"/>
      <c r="AJ498" s="239"/>
      <c r="AK498" s="239"/>
      <c r="AL498" s="239"/>
      <c r="AM498" s="4"/>
      <c r="AN498" s="4"/>
    </row>
    <row r="499" ht="15.75" customHeight="1">
      <c r="A499" s="4"/>
      <c r="B499" s="4"/>
      <c r="C499" s="12"/>
      <c r="D499" s="4"/>
      <c r="E499" s="4"/>
      <c r="F499" s="4"/>
      <c r="G499" s="4"/>
      <c r="H499" s="4"/>
      <c r="I499" s="237"/>
      <c r="J499" s="238"/>
      <c r="K499" s="238"/>
      <c r="L499" s="239"/>
      <c r="M499" s="239"/>
      <c r="N499" s="239"/>
      <c r="O499" s="240"/>
      <c r="P499" s="238"/>
      <c r="Q499" s="241"/>
      <c r="R499" s="239"/>
      <c r="S499" s="239"/>
      <c r="T499" s="239"/>
      <c r="U499" s="240"/>
      <c r="V499" s="238"/>
      <c r="W499" s="242"/>
      <c r="X499" s="239"/>
      <c r="Y499" s="239"/>
      <c r="Z499" s="239"/>
      <c r="AA499" s="239"/>
      <c r="AB499" s="239"/>
      <c r="AC499" s="239"/>
      <c r="AD499" s="239"/>
      <c r="AE499" s="239"/>
      <c r="AF499" s="239"/>
      <c r="AG499" s="239"/>
      <c r="AH499" s="239"/>
      <c r="AI499" s="239"/>
      <c r="AJ499" s="239"/>
      <c r="AK499" s="239"/>
      <c r="AL499" s="239"/>
      <c r="AM499" s="4"/>
      <c r="AN499" s="4"/>
    </row>
    <row r="500" ht="15.75" customHeight="1">
      <c r="A500" s="4"/>
      <c r="B500" s="4"/>
      <c r="C500" s="12"/>
      <c r="D500" s="4"/>
      <c r="E500" s="4"/>
      <c r="F500" s="4"/>
      <c r="G500" s="4"/>
      <c r="H500" s="4"/>
      <c r="I500" s="237"/>
      <c r="J500" s="238"/>
      <c r="K500" s="238"/>
      <c r="L500" s="239"/>
      <c r="M500" s="239"/>
      <c r="N500" s="239"/>
      <c r="O500" s="240"/>
      <c r="P500" s="238"/>
      <c r="Q500" s="241"/>
      <c r="R500" s="239"/>
      <c r="S500" s="239"/>
      <c r="T500" s="239"/>
      <c r="U500" s="240"/>
      <c r="V500" s="238"/>
      <c r="W500" s="242"/>
      <c r="X500" s="239"/>
      <c r="Y500" s="239"/>
      <c r="Z500" s="239"/>
      <c r="AA500" s="239"/>
      <c r="AB500" s="239"/>
      <c r="AC500" s="239"/>
      <c r="AD500" s="239"/>
      <c r="AE500" s="239"/>
      <c r="AF500" s="239"/>
      <c r="AG500" s="239"/>
      <c r="AH500" s="239"/>
      <c r="AI500" s="239"/>
      <c r="AJ500" s="239"/>
      <c r="AK500" s="239"/>
      <c r="AL500" s="239"/>
      <c r="AM500" s="4"/>
      <c r="AN500" s="4"/>
    </row>
    <row r="501" ht="15.75" customHeight="1">
      <c r="A501" s="4"/>
      <c r="B501" s="4"/>
      <c r="C501" s="12"/>
      <c r="D501" s="4"/>
      <c r="E501" s="4"/>
      <c r="F501" s="4"/>
      <c r="G501" s="4"/>
      <c r="H501" s="4"/>
      <c r="I501" s="237"/>
      <c r="J501" s="238"/>
      <c r="K501" s="238"/>
      <c r="L501" s="239"/>
      <c r="M501" s="239"/>
      <c r="N501" s="239"/>
      <c r="O501" s="240"/>
      <c r="P501" s="238"/>
      <c r="Q501" s="241"/>
      <c r="R501" s="239"/>
      <c r="S501" s="239"/>
      <c r="T501" s="239"/>
      <c r="U501" s="240"/>
      <c r="V501" s="238"/>
      <c r="W501" s="242"/>
      <c r="X501" s="239"/>
      <c r="Y501" s="239"/>
      <c r="Z501" s="239"/>
      <c r="AA501" s="239"/>
      <c r="AB501" s="239"/>
      <c r="AC501" s="239"/>
      <c r="AD501" s="239"/>
      <c r="AE501" s="239"/>
      <c r="AF501" s="239"/>
      <c r="AG501" s="239"/>
      <c r="AH501" s="239"/>
      <c r="AI501" s="239"/>
      <c r="AJ501" s="239"/>
      <c r="AK501" s="239"/>
      <c r="AL501" s="239"/>
      <c r="AM501" s="4"/>
      <c r="AN501" s="4"/>
    </row>
    <row r="502" ht="15.75" customHeight="1">
      <c r="A502" s="4"/>
      <c r="B502" s="4"/>
      <c r="C502" s="12"/>
      <c r="D502" s="4"/>
      <c r="E502" s="4"/>
      <c r="F502" s="4"/>
      <c r="G502" s="4"/>
      <c r="H502" s="4"/>
      <c r="I502" s="237"/>
      <c r="J502" s="238"/>
      <c r="K502" s="238"/>
      <c r="L502" s="239"/>
      <c r="M502" s="239"/>
      <c r="N502" s="239"/>
      <c r="O502" s="240"/>
      <c r="P502" s="238"/>
      <c r="Q502" s="241"/>
      <c r="R502" s="239"/>
      <c r="S502" s="239"/>
      <c r="T502" s="239"/>
      <c r="U502" s="240"/>
      <c r="V502" s="238"/>
      <c r="W502" s="242"/>
      <c r="X502" s="239"/>
      <c r="Y502" s="239"/>
      <c r="Z502" s="239"/>
      <c r="AA502" s="239"/>
      <c r="AB502" s="239"/>
      <c r="AC502" s="239"/>
      <c r="AD502" s="239"/>
      <c r="AE502" s="239"/>
      <c r="AF502" s="239"/>
      <c r="AG502" s="239"/>
      <c r="AH502" s="239"/>
      <c r="AI502" s="239"/>
      <c r="AJ502" s="239"/>
      <c r="AK502" s="239"/>
      <c r="AL502" s="239"/>
      <c r="AM502" s="4"/>
      <c r="AN502" s="4"/>
    </row>
    <row r="503" ht="15.75" customHeight="1">
      <c r="A503" s="4"/>
      <c r="B503" s="4"/>
      <c r="C503" s="12"/>
      <c r="D503" s="4"/>
      <c r="E503" s="4"/>
      <c r="F503" s="4"/>
      <c r="G503" s="4"/>
      <c r="H503" s="4"/>
      <c r="I503" s="237"/>
      <c r="J503" s="238"/>
      <c r="K503" s="238"/>
      <c r="L503" s="239"/>
      <c r="M503" s="239"/>
      <c r="N503" s="239"/>
      <c r="O503" s="240"/>
      <c r="P503" s="238"/>
      <c r="Q503" s="241"/>
      <c r="R503" s="239"/>
      <c r="S503" s="239"/>
      <c r="T503" s="239"/>
      <c r="U503" s="240"/>
      <c r="V503" s="238"/>
      <c r="W503" s="242"/>
      <c r="X503" s="239"/>
      <c r="Y503" s="239"/>
      <c r="Z503" s="239"/>
      <c r="AA503" s="239"/>
      <c r="AB503" s="239"/>
      <c r="AC503" s="239"/>
      <c r="AD503" s="239"/>
      <c r="AE503" s="239"/>
      <c r="AF503" s="239"/>
      <c r="AG503" s="239"/>
      <c r="AH503" s="239"/>
      <c r="AI503" s="239"/>
      <c r="AJ503" s="239"/>
      <c r="AK503" s="239"/>
      <c r="AL503" s="239"/>
      <c r="AM503" s="4"/>
      <c r="AN503" s="4"/>
    </row>
    <row r="504" ht="15.75" customHeight="1">
      <c r="A504" s="4"/>
      <c r="B504" s="4"/>
      <c r="C504" s="12"/>
      <c r="D504" s="4"/>
      <c r="E504" s="4"/>
      <c r="F504" s="4"/>
      <c r="G504" s="4"/>
      <c r="H504" s="4"/>
      <c r="I504" s="237"/>
      <c r="J504" s="238"/>
      <c r="K504" s="238"/>
      <c r="L504" s="239"/>
      <c r="M504" s="239"/>
      <c r="N504" s="239"/>
      <c r="O504" s="240"/>
      <c r="P504" s="238"/>
      <c r="Q504" s="241"/>
      <c r="R504" s="239"/>
      <c r="S504" s="239"/>
      <c r="T504" s="239"/>
      <c r="U504" s="240"/>
      <c r="V504" s="238"/>
      <c r="W504" s="242"/>
      <c r="X504" s="239"/>
      <c r="Y504" s="239"/>
      <c r="Z504" s="239"/>
      <c r="AA504" s="239"/>
      <c r="AB504" s="239"/>
      <c r="AC504" s="239"/>
      <c r="AD504" s="239"/>
      <c r="AE504" s="239"/>
      <c r="AF504" s="239"/>
      <c r="AG504" s="239"/>
      <c r="AH504" s="239"/>
      <c r="AI504" s="239"/>
      <c r="AJ504" s="239"/>
      <c r="AK504" s="239"/>
      <c r="AL504" s="239"/>
      <c r="AM504" s="4"/>
      <c r="AN504" s="4"/>
    </row>
    <row r="505" ht="15.75" customHeight="1">
      <c r="A505" s="4"/>
      <c r="B505" s="4"/>
      <c r="C505" s="12"/>
      <c r="D505" s="4"/>
      <c r="E505" s="4"/>
      <c r="F505" s="4"/>
      <c r="G505" s="4"/>
      <c r="H505" s="4"/>
      <c r="I505" s="237"/>
      <c r="J505" s="238"/>
      <c r="K505" s="238"/>
      <c r="L505" s="239"/>
      <c r="M505" s="239"/>
      <c r="N505" s="239"/>
      <c r="O505" s="240"/>
      <c r="P505" s="238"/>
      <c r="Q505" s="241"/>
      <c r="R505" s="239"/>
      <c r="S505" s="239"/>
      <c r="T505" s="239"/>
      <c r="U505" s="240"/>
      <c r="V505" s="238"/>
      <c r="W505" s="242"/>
      <c r="X505" s="239"/>
      <c r="Y505" s="239"/>
      <c r="Z505" s="239"/>
      <c r="AA505" s="239"/>
      <c r="AB505" s="239"/>
      <c r="AC505" s="239"/>
      <c r="AD505" s="239"/>
      <c r="AE505" s="239"/>
      <c r="AF505" s="239"/>
      <c r="AG505" s="239"/>
      <c r="AH505" s="239"/>
      <c r="AI505" s="239"/>
      <c r="AJ505" s="239"/>
      <c r="AK505" s="239"/>
      <c r="AL505" s="239"/>
      <c r="AM505" s="4"/>
      <c r="AN505" s="4"/>
    </row>
    <row r="506" ht="15.75" customHeight="1">
      <c r="A506" s="4"/>
      <c r="B506" s="4"/>
      <c r="C506" s="12"/>
      <c r="D506" s="4"/>
      <c r="E506" s="4"/>
      <c r="F506" s="4"/>
      <c r="G506" s="4"/>
      <c r="H506" s="4"/>
      <c r="I506" s="237"/>
      <c r="J506" s="238"/>
      <c r="K506" s="238"/>
      <c r="L506" s="239"/>
      <c r="M506" s="239"/>
      <c r="N506" s="239"/>
      <c r="O506" s="240"/>
      <c r="P506" s="238"/>
      <c r="Q506" s="241"/>
      <c r="R506" s="239"/>
      <c r="S506" s="239"/>
      <c r="T506" s="239"/>
      <c r="U506" s="240"/>
      <c r="V506" s="238"/>
      <c r="W506" s="242"/>
      <c r="X506" s="239"/>
      <c r="Y506" s="239"/>
      <c r="Z506" s="239"/>
      <c r="AA506" s="239"/>
      <c r="AB506" s="239"/>
      <c r="AC506" s="239"/>
      <c r="AD506" s="239"/>
      <c r="AE506" s="239"/>
      <c r="AF506" s="239"/>
      <c r="AG506" s="239"/>
      <c r="AH506" s="239"/>
      <c r="AI506" s="239"/>
      <c r="AJ506" s="239"/>
      <c r="AK506" s="239"/>
      <c r="AL506" s="239"/>
      <c r="AM506" s="4"/>
      <c r="AN506" s="4"/>
    </row>
    <row r="507" ht="15.75" customHeight="1">
      <c r="A507" s="4"/>
      <c r="B507" s="4"/>
      <c r="C507" s="12"/>
      <c r="D507" s="4"/>
      <c r="E507" s="4"/>
      <c r="F507" s="4"/>
      <c r="G507" s="4"/>
      <c r="H507" s="4"/>
      <c r="I507" s="237"/>
      <c r="J507" s="238"/>
      <c r="K507" s="238"/>
      <c r="L507" s="239"/>
      <c r="M507" s="239"/>
      <c r="N507" s="239"/>
      <c r="O507" s="240"/>
      <c r="P507" s="238"/>
      <c r="Q507" s="241"/>
      <c r="R507" s="239"/>
      <c r="S507" s="239"/>
      <c r="T507" s="239"/>
      <c r="U507" s="240"/>
      <c r="V507" s="238"/>
      <c r="W507" s="242"/>
      <c r="X507" s="239"/>
      <c r="Y507" s="239"/>
      <c r="Z507" s="239"/>
      <c r="AA507" s="239"/>
      <c r="AB507" s="239"/>
      <c r="AC507" s="239"/>
      <c r="AD507" s="239"/>
      <c r="AE507" s="239"/>
      <c r="AF507" s="239"/>
      <c r="AG507" s="239"/>
      <c r="AH507" s="239"/>
      <c r="AI507" s="239"/>
      <c r="AJ507" s="239"/>
      <c r="AK507" s="239"/>
      <c r="AL507" s="239"/>
      <c r="AM507" s="4"/>
      <c r="AN507" s="4"/>
    </row>
    <row r="508" ht="15.75" customHeight="1">
      <c r="A508" s="4"/>
      <c r="B508" s="4"/>
      <c r="C508" s="12"/>
      <c r="D508" s="4"/>
      <c r="E508" s="4"/>
      <c r="F508" s="4"/>
      <c r="G508" s="4"/>
      <c r="H508" s="4"/>
      <c r="I508" s="237"/>
      <c r="J508" s="238"/>
      <c r="K508" s="238"/>
      <c r="L508" s="239"/>
      <c r="M508" s="239"/>
      <c r="N508" s="239"/>
      <c r="O508" s="240"/>
      <c r="P508" s="238"/>
      <c r="Q508" s="241"/>
      <c r="R508" s="239"/>
      <c r="S508" s="239"/>
      <c r="T508" s="239"/>
      <c r="U508" s="240"/>
      <c r="V508" s="238"/>
      <c r="W508" s="242"/>
      <c r="X508" s="239"/>
      <c r="Y508" s="239"/>
      <c r="Z508" s="239"/>
      <c r="AA508" s="239"/>
      <c r="AB508" s="239"/>
      <c r="AC508" s="239"/>
      <c r="AD508" s="239"/>
      <c r="AE508" s="239"/>
      <c r="AF508" s="239"/>
      <c r="AG508" s="239"/>
      <c r="AH508" s="239"/>
      <c r="AI508" s="239"/>
      <c r="AJ508" s="239"/>
      <c r="AK508" s="239"/>
      <c r="AL508" s="239"/>
      <c r="AM508" s="4"/>
      <c r="AN508" s="4"/>
    </row>
    <row r="509" ht="15.75" customHeight="1">
      <c r="A509" s="4"/>
      <c r="B509" s="4"/>
      <c r="C509" s="12"/>
      <c r="D509" s="4"/>
      <c r="E509" s="4"/>
      <c r="F509" s="4"/>
      <c r="G509" s="4"/>
      <c r="H509" s="4"/>
      <c r="I509" s="237"/>
      <c r="J509" s="238"/>
      <c r="K509" s="238"/>
      <c r="L509" s="239"/>
      <c r="M509" s="239"/>
      <c r="N509" s="239"/>
      <c r="O509" s="240"/>
      <c r="P509" s="238"/>
      <c r="Q509" s="241"/>
      <c r="R509" s="239"/>
      <c r="S509" s="239"/>
      <c r="T509" s="239"/>
      <c r="U509" s="240"/>
      <c r="V509" s="238"/>
      <c r="W509" s="242"/>
      <c r="X509" s="239"/>
      <c r="Y509" s="239"/>
      <c r="Z509" s="239"/>
      <c r="AA509" s="239"/>
      <c r="AB509" s="239"/>
      <c r="AC509" s="239"/>
      <c r="AD509" s="239"/>
      <c r="AE509" s="239"/>
      <c r="AF509" s="239"/>
      <c r="AG509" s="239"/>
      <c r="AH509" s="239"/>
      <c r="AI509" s="239"/>
      <c r="AJ509" s="239"/>
      <c r="AK509" s="239"/>
      <c r="AL509" s="239"/>
      <c r="AM509" s="4"/>
      <c r="AN509" s="4"/>
    </row>
    <row r="510" ht="15.75" customHeight="1">
      <c r="A510" s="4"/>
      <c r="B510" s="4"/>
      <c r="C510" s="12"/>
      <c r="D510" s="4"/>
      <c r="E510" s="4"/>
      <c r="F510" s="4"/>
      <c r="G510" s="4"/>
      <c r="H510" s="4"/>
      <c r="I510" s="237"/>
      <c r="J510" s="238"/>
      <c r="K510" s="238"/>
      <c r="L510" s="239"/>
      <c r="M510" s="239"/>
      <c r="N510" s="239"/>
      <c r="O510" s="240"/>
      <c r="P510" s="238"/>
      <c r="Q510" s="241"/>
      <c r="R510" s="239"/>
      <c r="S510" s="239"/>
      <c r="T510" s="239"/>
      <c r="U510" s="240"/>
      <c r="V510" s="238"/>
      <c r="W510" s="242"/>
      <c r="X510" s="239"/>
      <c r="Y510" s="239"/>
      <c r="Z510" s="239"/>
      <c r="AA510" s="239"/>
      <c r="AB510" s="239"/>
      <c r="AC510" s="239"/>
      <c r="AD510" s="239"/>
      <c r="AE510" s="239"/>
      <c r="AF510" s="239"/>
      <c r="AG510" s="239"/>
      <c r="AH510" s="239"/>
      <c r="AI510" s="239"/>
      <c r="AJ510" s="239"/>
      <c r="AK510" s="239"/>
      <c r="AL510" s="239"/>
      <c r="AM510" s="4"/>
      <c r="AN510" s="4"/>
    </row>
    <row r="511" ht="15.75" customHeight="1">
      <c r="A511" s="4"/>
      <c r="B511" s="4"/>
      <c r="C511" s="12"/>
      <c r="D511" s="4"/>
      <c r="E511" s="4"/>
      <c r="F511" s="4"/>
      <c r="G511" s="4"/>
      <c r="H511" s="4"/>
      <c r="I511" s="237"/>
      <c r="J511" s="238"/>
      <c r="K511" s="238"/>
      <c r="L511" s="239"/>
      <c r="M511" s="239"/>
      <c r="N511" s="239"/>
      <c r="O511" s="240"/>
      <c r="P511" s="238"/>
      <c r="Q511" s="241"/>
      <c r="R511" s="239"/>
      <c r="S511" s="239"/>
      <c r="T511" s="239"/>
      <c r="U511" s="240"/>
      <c r="V511" s="238"/>
      <c r="W511" s="242"/>
      <c r="X511" s="239"/>
      <c r="Y511" s="239"/>
      <c r="Z511" s="239"/>
      <c r="AA511" s="239"/>
      <c r="AB511" s="239"/>
      <c r="AC511" s="239"/>
      <c r="AD511" s="239"/>
      <c r="AE511" s="239"/>
      <c r="AF511" s="239"/>
      <c r="AG511" s="239"/>
      <c r="AH511" s="239"/>
      <c r="AI511" s="239"/>
      <c r="AJ511" s="239"/>
      <c r="AK511" s="239"/>
      <c r="AL511" s="239"/>
      <c r="AM511" s="4"/>
      <c r="AN511" s="4"/>
    </row>
    <row r="512" ht="15.75" customHeight="1">
      <c r="A512" s="4"/>
      <c r="B512" s="4"/>
      <c r="C512" s="12"/>
      <c r="D512" s="4"/>
      <c r="E512" s="4"/>
      <c r="F512" s="4"/>
      <c r="G512" s="4"/>
      <c r="H512" s="4"/>
      <c r="I512" s="237"/>
      <c r="J512" s="238"/>
      <c r="K512" s="238"/>
      <c r="L512" s="239"/>
      <c r="M512" s="239"/>
      <c r="N512" s="239"/>
      <c r="O512" s="240"/>
      <c r="P512" s="238"/>
      <c r="Q512" s="241"/>
      <c r="R512" s="239"/>
      <c r="S512" s="239"/>
      <c r="T512" s="239"/>
      <c r="U512" s="240"/>
      <c r="V512" s="238"/>
      <c r="W512" s="242"/>
      <c r="X512" s="239"/>
      <c r="Y512" s="239"/>
      <c r="Z512" s="239"/>
      <c r="AA512" s="239"/>
      <c r="AB512" s="239"/>
      <c r="AC512" s="239"/>
      <c r="AD512" s="239"/>
      <c r="AE512" s="239"/>
      <c r="AF512" s="239"/>
      <c r="AG512" s="239"/>
      <c r="AH512" s="239"/>
      <c r="AI512" s="239"/>
      <c r="AJ512" s="239"/>
      <c r="AK512" s="239"/>
      <c r="AL512" s="239"/>
      <c r="AM512" s="4"/>
      <c r="AN512" s="4"/>
    </row>
    <row r="513" ht="15.75" customHeight="1">
      <c r="A513" s="4"/>
      <c r="B513" s="4"/>
      <c r="C513" s="12"/>
      <c r="D513" s="4"/>
      <c r="E513" s="4"/>
      <c r="F513" s="4"/>
      <c r="G513" s="4"/>
      <c r="H513" s="4"/>
      <c r="I513" s="237"/>
      <c r="J513" s="238"/>
      <c r="K513" s="238"/>
      <c r="L513" s="239"/>
      <c r="M513" s="239"/>
      <c r="N513" s="239"/>
      <c r="O513" s="240"/>
      <c r="P513" s="238"/>
      <c r="Q513" s="241"/>
      <c r="R513" s="239"/>
      <c r="S513" s="239"/>
      <c r="T513" s="239"/>
      <c r="U513" s="240"/>
      <c r="V513" s="238"/>
      <c r="W513" s="242"/>
      <c r="X513" s="239"/>
      <c r="Y513" s="239"/>
      <c r="Z513" s="239"/>
      <c r="AA513" s="239"/>
      <c r="AB513" s="239"/>
      <c r="AC513" s="239"/>
      <c r="AD513" s="239"/>
      <c r="AE513" s="239"/>
      <c r="AF513" s="239"/>
      <c r="AG513" s="239"/>
      <c r="AH513" s="239"/>
      <c r="AI513" s="239"/>
      <c r="AJ513" s="239"/>
      <c r="AK513" s="239"/>
      <c r="AL513" s="239"/>
      <c r="AM513" s="4"/>
      <c r="AN513" s="4"/>
    </row>
    <row r="514" ht="15.75" customHeight="1">
      <c r="A514" s="4"/>
      <c r="B514" s="4"/>
      <c r="C514" s="12"/>
      <c r="D514" s="4"/>
      <c r="E514" s="4"/>
      <c r="F514" s="4"/>
      <c r="G514" s="4"/>
      <c r="H514" s="4"/>
      <c r="I514" s="237"/>
      <c r="J514" s="238"/>
      <c r="K514" s="238"/>
      <c r="L514" s="239"/>
      <c r="M514" s="239"/>
      <c r="N514" s="239"/>
      <c r="O514" s="240"/>
      <c r="P514" s="238"/>
      <c r="Q514" s="241"/>
      <c r="R514" s="239"/>
      <c r="S514" s="239"/>
      <c r="T514" s="239"/>
      <c r="U514" s="240"/>
      <c r="V514" s="238"/>
      <c r="W514" s="242"/>
      <c r="X514" s="239"/>
      <c r="Y514" s="239"/>
      <c r="Z514" s="239"/>
      <c r="AA514" s="239"/>
      <c r="AB514" s="239"/>
      <c r="AC514" s="239"/>
      <c r="AD514" s="239"/>
      <c r="AE514" s="239"/>
      <c r="AF514" s="239"/>
      <c r="AG514" s="239"/>
      <c r="AH514" s="239"/>
      <c r="AI514" s="239"/>
      <c r="AJ514" s="239"/>
      <c r="AK514" s="239"/>
      <c r="AL514" s="239"/>
      <c r="AM514" s="4"/>
      <c r="AN514" s="4"/>
    </row>
    <row r="515" ht="15.75" customHeight="1">
      <c r="A515" s="4"/>
      <c r="B515" s="4"/>
      <c r="C515" s="12"/>
      <c r="D515" s="4"/>
      <c r="E515" s="4"/>
      <c r="F515" s="4"/>
      <c r="G515" s="4"/>
      <c r="H515" s="4"/>
      <c r="I515" s="237"/>
      <c r="J515" s="238"/>
      <c r="K515" s="238"/>
      <c r="L515" s="239"/>
      <c r="M515" s="239"/>
      <c r="N515" s="239"/>
      <c r="O515" s="240"/>
      <c r="P515" s="238"/>
      <c r="Q515" s="241"/>
      <c r="R515" s="239"/>
      <c r="S515" s="239"/>
      <c r="T515" s="239"/>
      <c r="U515" s="240"/>
      <c r="V515" s="238"/>
      <c r="W515" s="242"/>
      <c r="X515" s="239"/>
      <c r="Y515" s="239"/>
      <c r="Z515" s="239"/>
      <c r="AA515" s="239"/>
      <c r="AB515" s="239"/>
      <c r="AC515" s="239"/>
      <c r="AD515" s="239"/>
      <c r="AE515" s="239"/>
      <c r="AF515" s="239"/>
      <c r="AG515" s="239"/>
      <c r="AH515" s="239"/>
      <c r="AI515" s="239"/>
      <c r="AJ515" s="239"/>
      <c r="AK515" s="239"/>
      <c r="AL515" s="239"/>
      <c r="AM515" s="4"/>
      <c r="AN515" s="4"/>
    </row>
    <row r="516" ht="15.75" customHeight="1">
      <c r="A516" s="4"/>
      <c r="B516" s="4"/>
      <c r="C516" s="12"/>
      <c r="D516" s="4"/>
      <c r="E516" s="4"/>
      <c r="F516" s="4"/>
      <c r="G516" s="4"/>
      <c r="H516" s="4"/>
      <c r="I516" s="237"/>
      <c r="J516" s="238"/>
      <c r="K516" s="238"/>
      <c r="L516" s="239"/>
      <c r="M516" s="239"/>
      <c r="N516" s="239"/>
      <c r="O516" s="240"/>
      <c r="P516" s="238"/>
      <c r="Q516" s="241"/>
      <c r="R516" s="239"/>
      <c r="S516" s="239"/>
      <c r="T516" s="239"/>
      <c r="U516" s="240"/>
      <c r="V516" s="238"/>
      <c r="W516" s="242"/>
      <c r="X516" s="239"/>
      <c r="Y516" s="239"/>
      <c r="Z516" s="239"/>
      <c r="AA516" s="239"/>
      <c r="AB516" s="239"/>
      <c r="AC516" s="239"/>
      <c r="AD516" s="239"/>
      <c r="AE516" s="239"/>
      <c r="AF516" s="239"/>
      <c r="AG516" s="239"/>
      <c r="AH516" s="239"/>
      <c r="AI516" s="239"/>
      <c r="AJ516" s="239"/>
      <c r="AK516" s="239"/>
      <c r="AL516" s="239"/>
      <c r="AM516" s="4"/>
      <c r="AN516" s="4"/>
    </row>
    <row r="517" ht="15.75" customHeight="1">
      <c r="A517" s="4"/>
      <c r="B517" s="4"/>
      <c r="C517" s="12"/>
      <c r="D517" s="4"/>
      <c r="E517" s="4"/>
      <c r="F517" s="4"/>
      <c r="G517" s="4"/>
      <c r="H517" s="4"/>
      <c r="I517" s="237"/>
      <c r="J517" s="238"/>
      <c r="K517" s="238"/>
      <c r="L517" s="239"/>
      <c r="M517" s="239"/>
      <c r="N517" s="239"/>
      <c r="O517" s="240"/>
      <c r="P517" s="238"/>
      <c r="Q517" s="241"/>
      <c r="R517" s="239"/>
      <c r="S517" s="239"/>
      <c r="T517" s="239"/>
      <c r="U517" s="240"/>
      <c r="V517" s="238"/>
      <c r="W517" s="242"/>
      <c r="X517" s="239"/>
      <c r="Y517" s="239"/>
      <c r="Z517" s="239"/>
      <c r="AA517" s="239"/>
      <c r="AB517" s="239"/>
      <c r="AC517" s="239"/>
      <c r="AD517" s="239"/>
      <c r="AE517" s="239"/>
      <c r="AF517" s="239"/>
      <c r="AG517" s="239"/>
      <c r="AH517" s="239"/>
      <c r="AI517" s="239"/>
      <c r="AJ517" s="239"/>
      <c r="AK517" s="239"/>
      <c r="AL517" s="239"/>
      <c r="AM517" s="4"/>
      <c r="AN517" s="4"/>
    </row>
    <row r="518" ht="15.75" customHeight="1">
      <c r="A518" s="4"/>
      <c r="B518" s="4"/>
      <c r="C518" s="12"/>
      <c r="D518" s="4"/>
      <c r="E518" s="4"/>
      <c r="F518" s="4"/>
      <c r="G518" s="4"/>
      <c r="H518" s="4"/>
      <c r="I518" s="237"/>
      <c r="J518" s="238"/>
      <c r="K518" s="238"/>
      <c r="L518" s="239"/>
      <c r="M518" s="239"/>
      <c r="N518" s="239"/>
      <c r="O518" s="240"/>
      <c r="P518" s="238"/>
      <c r="Q518" s="241"/>
      <c r="R518" s="239"/>
      <c r="S518" s="239"/>
      <c r="T518" s="239"/>
      <c r="U518" s="240"/>
      <c r="V518" s="238"/>
      <c r="W518" s="242"/>
      <c r="X518" s="239"/>
      <c r="Y518" s="239"/>
      <c r="Z518" s="239"/>
      <c r="AA518" s="239"/>
      <c r="AB518" s="239"/>
      <c r="AC518" s="239"/>
      <c r="AD518" s="239"/>
      <c r="AE518" s="239"/>
      <c r="AF518" s="239"/>
      <c r="AG518" s="239"/>
      <c r="AH518" s="239"/>
      <c r="AI518" s="239"/>
      <c r="AJ518" s="239"/>
      <c r="AK518" s="239"/>
      <c r="AL518" s="239"/>
      <c r="AM518" s="4"/>
      <c r="AN518" s="4"/>
    </row>
    <row r="519" ht="15.75" customHeight="1">
      <c r="A519" s="4"/>
      <c r="B519" s="4"/>
      <c r="C519" s="12"/>
      <c r="D519" s="4"/>
      <c r="E519" s="4"/>
      <c r="F519" s="4"/>
      <c r="G519" s="4"/>
      <c r="H519" s="4"/>
      <c r="I519" s="237"/>
      <c r="J519" s="238"/>
      <c r="K519" s="238"/>
      <c r="L519" s="239"/>
      <c r="M519" s="239"/>
      <c r="N519" s="239"/>
      <c r="O519" s="240"/>
      <c r="P519" s="238"/>
      <c r="Q519" s="241"/>
      <c r="R519" s="239"/>
      <c r="S519" s="239"/>
      <c r="T519" s="239"/>
      <c r="U519" s="240"/>
      <c r="V519" s="238"/>
      <c r="W519" s="242"/>
      <c r="X519" s="239"/>
      <c r="Y519" s="239"/>
      <c r="Z519" s="239"/>
      <c r="AA519" s="239"/>
      <c r="AB519" s="239"/>
      <c r="AC519" s="239"/>
      <c r="AD519" s="239"/>
      <c r="AE519" s="239"/>
      <c r="AF519" s="239"/>
      <c r="AG519" s="239"/>
      <c r="AH519" s="239"/>
      <c r="AI519" s="239"/>
      <c r="AJ519" s="239"/>
      <c r="AK519" s="239"/>
      <c r="AL519" s="239"/>
      <c r="AM519" s="4"/>
      <c r="AN519" s="4"/>
    </row>
    <row r="520" ht="15.75" customHeight="1">
      <c r="A520" s="4"/>
      <c r="B520" s="4"/>
      <c r="C520" s="12"/>
      <c r="D520" s="4"/>
      <c r="E520" s="4"/>
      <c r="F520" s="4"/>
      <c r="G520" s="4"/>
      <c r="H520" s="4"/>
      <c r="I520" s="237"/>
      <c r="J520" s="238"/>
      <c r="K520" s="238"/>
      <c r="L520" s="239"/>
      <c r="M520" s="239"/>
      <c r="N520" s="239"/>
      <c r="O520" s="240"/>
      <c r="P520" s="238"/>
      <c r="Q520" s="241"/>
      <c r="R520" s="239"/>
      <c r="S520" s="239"/>
      <c r="T520" s="239"/>
      <c r="U520" s="240"/>
      <c r="V520" s="238"/>
      <c r="W520" s="242"/>
      <c r="X520" s="239"/>
      <c r="Y520" s="239"/>
      <c r="Z520" s="239"/>
      <c r="AA520" s="239"/>
      <c r="AB520" s="239"/>
      <c r="AC520" s="239"/>
      <c r="AD520" s="239"/>
      <c r="AE520" s="239"/>
      <c r="AF520" s="239"/>
      <c r="AG520" s="239"/>
      <c r="AH520" s="239"/>
      <c r="AI520" s="239"/>
      <c r="AJ520" s="239"/>
      <c r="AK520" s="239"/>
      <c r="AL520" s="239"/>
      <c r="AM520" s="4"/>
      <c r="AN520" s="4"/>
    </row>
    <row r="521" ht="15.75" customHeight="1">
      <c r="A521" s="4"/>
      <c r="B521" s="4"/>
      <c r="C521" s="12"/>
      <c r="D521" s="4"/>
      <c r="E521" s="4"/>
      <c r="F521" s="4"/>
      <c r="G521" s="4"/>
      <c r="H521" s="4"/>
      <c r="I521" s="237"/>
      <c r="J521" s="238"/>
      <c r="K521" s="238"/>
      <c r="L521" s="239"/>
      <c r="M521" s="239"/>
      <c r="N521" s="239"/>
      <c r="O521" s="240"/>
      <c r="P521" s="238"/>
      <c r="Q521" s="241"/>
      <c r="R521" s="239"/>
      <c r="S521" s="239"/>
      <c r="T521" s="239"/>
      <c r="U521" s="240"/>
      <c r="V521" s="238"/>
      <c r="W521" s="242"/>
      <c r="X521" s="239"/>
      <c r="Y521" s="239"/>
      <c r="Z521" s="239"/>
      <c r="AA521" s="239"/>
      <c r="AB521" s="239"/>
      <c r="AC521" s="239"/>
      <c r="AD521" s="239"/>
      <c r="AE521" s="239"/>
      <c r="AF521" s="239"/>
      <c r="AG521" s="239"/>
      <c r="AH521" s="239"/>
      <c r="AI521" s="239"/>
      <c r="AJ521" s="239"/>
      <c r="AK521" s="239"/>
      <c r="AL521" s="239"/>
      <c r="AM521" s="4"/>
      <c r="AN521" s="4"/>
    </row>
    <row r="522" ht="15.75" customHeight="1">
      <c r="A522" s="4"/>
      <c r="B522" s="4"/>
      <c r="C522" s="12"/>
      <c r="D522" s="4"/>
      <c r="E522" s="4"/>
      <c r="F522" s="4"/>
      <c r="G522" s="4"/>
      <c r="H522" s="4"/>
      <c r="I522" s="237"/>
      <c r="J522" s="238"/>
      <c r="K522" s="238"/>
      <c r="L522" s="239"/>
      <c r="M522" s="239"/>
      <c r="N522" s="239"/>
      <c r="O522" s="240"/>
      <c r="P522" s="238"/>
      <c r="Q522" s="241"/>
      <c r="R522" s="239"/>
      <c r="S522" s="239"/>
      <c r="T522" s="239"/>
      <c r="U522" s="240"/>
      <c r="V522" s="238"/>
      <c r="W522" s="242"/>
      <c r="X522" s="239"/>
      <c r="Y522" s="239"/>
      <c r="Z522" s="239"/>
      <c r="AA522" s="239"/>
      <c r="AB522" s="239"/>
      <c r="AC522" s="239"/>
      <c r="AD522" s="239"/>
      <c r="AE522" s="239"/>
      <c r="AF522" s="239"/>
      <c r="AG522" s="239"/>
      <c r="AH522" s="239"/>
      <c r="AI522" s="239"/>
      <c r="AJ522" s="239"/>
      <c r="AK522" s="239"/>
      <c r="AL522" s="239"/>
      <c r="AM522" s="4"/>
      <c r="AN522" s="4"/>
    </row>
    <row r="523" ht="15.75" customHeight="1">
      <c r="A523" s="4"/>
      <c r="B523" s="4"/>
      <c r="C523" s="12"/>
      <c r="D523" s="4"/>
      <c r="E523" s="4"/>
      <c r="F523" s="4"/>
      <c r="G523" s="4"/>
      <c r="H523" s="4"/>
      <c r="I523" s="237"/>
      <c r="J523" s="238"/>
      <c r="K523" s="238"/>
      <c r="L523" s="239"/>
      <c r="M523" s="239"/>
      <c r="N523" s="239"/>
      <c r="O523" s="240"/>
      <c r="P523" s="238"/>
      <c r="Q523" s="241"/>
      <c r="R523" s="239"/>
      <c r="S523" s="239"/>
      <c r="T523" s="239"/>
      <c r="U523" s="240"/>
      <c r="V523" s="238"/>
      <c r="W523" s="242"/>
      <c r="X523" s="239"/>
      <c r="Y523" s="239"/>
      <c r="Z523" s="239"/>
      <c r="AA523" s="239"/>
      <c r="AB523" s="239"/>
      <c r="AC523" s="239"/>
      <c r="AD523" s="239"/>
      <c r="AE523" s="239"/>
      <c r="AF523" s="239"/>
      <c r="AG523" s="239"/>
      <c r="AH523" s="239"/>
      <c r="AI523" s="239"/>
      <c r="AJ523" s="239"/>
      <c r="AK523" s="239"/>
      <c r="AL523" s="239"/>
      <c r="AM523" s="4"/>
      <c r="AN523" s="4"/>
    </row>
    <row r="524" ht="15.75" customHeight="1">
      <c r="A524" s="4"/>
      <c r="B524" s="4"/>
      <c r="C524" s="12"/>
      <c r="D524" s="4"/>
      <c r="E524" s="4"/>
      <c r="F524" s="4"/>
      <c r="G524" s="4"/>
      <c r="H524" s="4"/>
      <c r="I524" s="237"/>
      <c r="J524" s="238"/>
      <c r="K524" s="238"/>
      <c r="L524" s="239"/>
      <c r="M524" s="239"/>
      <c r="N524" s="239"/>
      <c r="O524" s="240"/>
      <c r="P524" s="238"/>
      <c r="Q524" s="241"/>
      <c r="R524" s="239"/>
      <c r="S524" s="239"/>
      <c r="T524" s="239"/>
      <c r="U524" s="240"/>
      <c r="V524" s="238"/>
      <c r="W524" s="242"/>
      <c r="X524" s="239"/>
      <c r="Y524" s="239"/>
      <c r="Z524" s="239"/>
      <c r="AA524" s="239"/>
      <c r="AB524" s="239"/>
      <c r="AC524" s="239"/>
      <c r="AD524" s="239"/>
      <c r="AE524" s="239"/>
      <c r="AF524" s="239"/>
      <c r="AG524" s="239"/>
      <c r="AH524" s="239"/>
      <c r="AI524" s="239"/>
      <c r="AJ524" s="239"/>
      <c r="AK524" s="239"/>
      <c r="AL524" s="239"/>
      <c r="AM524" s="4"/>
      <c r="AN524" s="4"/>
    </row>
    <row r="525" ht="15.75" customHeight="1">
      <c r="A525" s="4"/>
      <c r="B525" s="4"/>
      <c r="C525" s="12"/>
      <c r="D525" s="4"/>
      <c r="E525" s="4"/>
      <c r="F525" s="4"/>
      <c r="G525" s="4"/>
      <c r="H525" s="4"/>
      <c r="I525" s="237"/>
      <c r="J525" s="238"/>
      <c r="K525" s="238"/>
      <c r="L525" s="239"/>
      <c r="M525" s="239"/>
      <c r="N525" s="239"/>
      <c r="O525" s="240"/>
      <c r="P525" s="238"/>
      <c r="Q525" s="241"/>
      <c r="R525" s="239"/>
      <c r="S525" s="239"/>
      <c r="T525" s="239"/>
      <c r="U525" s="240"/>
      <c r="V525" s="238"/>
      <c r="W525" s="242"/>
      <c r="X525" s="239"/>
      <c r="Y525" s="239"/>
      <c r="Z525" s="239"/>
      <c r="AA525" s="239"/>
      <c r="AB525" s="239"/>
      <c r="AC525" s="239"/>
      <c r="AD525" s="239"/>
      <c r="AE525" s="239"/>
      <c r="AF525" s="239"/>
      <c r="AG525" s="239"/>
      <c r="AH525" s="239"/>
      <c r="AI525" s="239"/>
      <c r="AJ525" s="239"/>
      <c r="AK525" s="239"/>
      <c r="AL525" s="239"/>
      <c r="AM525" s="4"/>
      <c r="AN525" s="4"/>
    </row>
    <row r="526" ht="15.75" customHeight="1">
      <c r="A526" s="4"/>
      <c r="B526" s="4"/>
      <c r="C526" s="12"/>
      <c r="D526" s="4"/>
      <c r="E526" s="4"/>
      <c r="F526" s="4"/>
      <c r="G526" s="4"/>
      <c r="H526" s="4"/>
      <c r="I526" s="237"/>
      <c r="J526" s="238"/>
      <c r="K526" s="238"/>
      <c r="L526" s="239"/>
      <c r="M526" s="239"/>
      <c r="N526" s="239"/>
      <c r="O526" s="240"/>
      <c r="P526" s="238"/>
      <c r="Q526" s="241"/>
      <c r="R526" s="239"/>
      <c r="S526" s="239"/>
      <c r="T526" s="239"/>
      <c r="U526" s="240"/>
      <c r="V526" s="238"/>
      <c r="W526" s="242"/>
      <c r="X526" s="239"/>
      <c r="Y526" s="239"/>
      <c r="Z526" s="239"/>
      <c r="AA526" s="239"/>
      <c r="AB526" s="239"/>
      <c r="AC526" s="239"/>
      <c r="AD526" s="239"/>
      <c r="AE526" s="239"/>
      <c r="AF526" s="239"/>
      <c r="AG526" s="239"/>
      <c r="AH526" s="239"/>
      <c r="AI526" s="239"/>
      <c r="AJ526" s="239"/>
      <c r="AK526" s="239"/>
      <c r="AL526" s="239"/>
      <c r="AM526" s="4"/>
      <c r="AN526" s="4"/>
    </row>
    <row r="527" ht="15.75" customHeight="1">
      <c r="A527" s="4"/>
      <c r="B527" s="4"/>
      <c r="C527" s="12"/>
      <c r="D527" s="4"/>
      <c r="E527" s="4"/>
      <c r="F527" s="4"/>
      <c r="G527" s="4"/>
      <c r="H527" s="4"/>
      <c r="I527" s="237"/>
      <c r="J527" s="238"/>
      <c r="K527" s="238"/>
      <c r="L527" s="239"/>
      <c r="M527" s="239"/>
      <c r="N527" s="239"/>
      <c r="O527" s="240"/>
      <c r="P527" s="238"/>
      <c r="Q527" s="241"/>
      <c r="R527" s="239"/>
      <c r="S527" s="239"/>
      <c r="T527" s="239"/>
      <c r="U527" s="240"/>
      <c r="V527" s="238"/>
      <c r="W527" s="242"/>
      <c r="X527" s="239"/>
      <c r="Y527" s="239"/>
      <c r="Z527" s="239"/>
      <c r="AA527" s="239"/>
      <c r="AB527" s="239"/>
      <c r="AC527" s="239"/>
      <c r="AD527" s="239"/>
      <c r="AE527" s="239"/>
      <c r="AF527" s="239"/>
      <c r="AG527" s="239"/>
      <c r="AH527" s="239"/>
      <c r="AI527" s="239"/>
      <c r="AJ527" s="239"/>
      <c r="AK527" s="239"/>
      <c r="AL527" s="239"/>
      <c r="AM527" s="4"/>
      <c r="AN527" s="4"/>
    </row>
    <row r="528" ht="15.75" customHeight="1">
      <c r="A528" s="4"/>
      <c r="B528" s="4"/>
      <c r="C528" s="12"/>
      <c r="D528" s="4"/>
      <c r="E528" s="4"/>
      <c r="F528" s="4"/>
      <c r="G528" s="4"/>
      <c r="H528" s="4"/>
      <c r="I528" s="237"/>
      <c r="J528" s="238"/>
      <c r="K528" s="238"/>
      <c r="L528" s="239"/>
      <c r="M528" s="239"/>
      <c r="N528" s="239"/>
      <c r="O528" s="240"/>
      <c r="P528" s="238"/>
      <c r="Q528" s="241"/>
      <c r="R528" s="239"/>
      <c r="S528" s="239"/>
      <c r="T528" s="239"/>
      <c r="U528" s="240"/>
      <c r="V528" s="238"/>
      <c r="W528" s="242"/>
      <c r="X528" s="239"/>
      <c r="Y528" s="239"/>
      <c r="Z528" s="239"/>
      <c r="AA528" s="239"/>
      <c r="AB528" s="239"/>
      <c r="AC528" s="239"/>
      <c r="AD528" s="239"/>
      <c r="AE528" s="239"/>
      <c r="AF528" s="239"/>
      <c r="AG528" s="239"/>
      <c r="AH528" s="239"/>
      <c r="AI528" s="239"/>
      <c r="AJ528" s="239"/>
      <c r="AK528" s="239"/>
      <c r="AL528" s="239"/>
      <c r="AM528" s="4"/>
      <c r="AN528" s="4"/>
    </row>
    <row r="529" ht="15.75" customHeight="1">
      <c r="A529" s="4"/>
      <c r="B529" s="4"/>
      <c r="C529" s="12"/>
      <c r="D529" s="4"/>
      <c r="E529" s="4"/>
      <c r="F529" s="4"/>
      <c r="G529" s="4"/>
      <c r="H529" s="4"/>
      <c r="I529" s="237"/>
      <c r="J529" s="238"/>
      <c r="K529" s="238"/>
      <c r="L529" s="239"/>
      <c r="M529" s="239"/>
      <c r="N529" s="239"/>
      <c r="O529" s="240"/>
      <c r="P529" s="238"/>
      <c r="Q529" s="241"/>
      <c r="R529" s="239"/>
      <c r="S529" s="239"/>
      <c r="T529" s="239"/>
      <c r="U529" s="240"/>
      <c r="V529" s="238"/>
      <c r="W529" s="242"/>
      <c r="X529" s="239"/>
      <c r="Y529" s="239"/>
      <c r="Z529" s="239"/>
      <c r="AA529" s="239"/>
      <c r="AB529" s="239"/>
      <c r="AC529" s="239"/>
      <c r="AD529" s="239"/>
      <c r="AE529" s="239"/>
      <c r="AF529" s="239"/>
      <c r="AG529" s="239"/>
      <c r="AH529" s="239"/>
      <c r="AI529" s="239"/>
      <c r="AJ529" s="239"/>
      <c r="AK529" s="239"/>
      <c r="AL529" s="239"/>
      <c r="AM529" s="4"/>
      <c r="AN529" s="4"/>
    </row>
    <row r="530" ht="15.75" customHeight="1">
      <c r="A530" s="4"/>
      <c r="B530" s="4"/>
      <c r="C530" s="12"/>
      <c r="D530" s="4"/>
      <c r="E530" s="4"/>
      <c r="F530" s="4"/>
      <c r="G530" s="4"/>
      <c r="H530" s="4"/>
      <c r="I530" s="237"/>
      <c r="J530" s="238"/>
      <c r="K530" s="238"/>
      <c r="L530" s="239"/>
      <c r="M530" s="239"/>
      <c r="N530" s="239"/>
      <c r="O530" s="240"/>
      <c r="P530" s="238"/>
      <c r="Q530" s="241"/>
      <c r="R530" s="239"/>
      <c r="S530" s="239"/>
      <c r="T530" s="239"/>
      <c r="U530" s="240"/>
      <c r="V530" s="238"/>
      <c r="W530" s="242"/>
      <c r="X530" s="239"/>
      <c r="Y530" s="239"/>
      <c r="Z530" s="239"/>
      <c r="AA530" s="239"/>
      <c r="AB530" s="239"/>
      <c r="AC530" s="239"/>
      <c r="AD530" s="239"/>
      <c r="AE530" s="239"/>
      <c r="AF530" s="239"/>
      <c r="AG530" s="239"/>
      <c r="AH530" s="239"/>
      <c r="AI530" s="239"/>
      <c r="AJ530" s="239"/>
      <c r="AK530" s="239"/>
      <c r="AL530" s="239"/>
      <c r="AM530" s="4"/>
      <c r="AN530" s="4"/>
    </row>
    <row r="531" ht="15.75" customHeight="1">
      <c r="A531" s="4"/>
      <c r="B531" s="4"/>
      <c r="C531" s="12"/>
      <c r="D531" s="4"/>
      <c r="E531" s="4"/>
      <c r="F531" s="4"/>
      <c r="G531" s="4"/>
      <c r="H531" s="4"/>
      <c r="I531" s="237"/>
      <c r="J531" s="238"/>
      <c r="K531" s="238"/>
      <c r="L531" s="239"/>
      <c r="M531" s="239"/>
      <c r="N531" s="239"/>
      <c r="O531" s="240"/>
      <c r="P531" s="238"/>
      <c r="Q531" s="241"/>
      <c r="R531" s="239"/>
      <c r="S531" s="239"/>
      <c r="T531" s="239"/>
      <c r="U531" s="240"/>
      <c r="V531" s="238"/>
      <c r="W531" s="242"/>
      <c r="X531" s="239"/>
      <c r="Y531" s="239"/>
      <c r="Z531" s="239"/>
      <c r="AA531" s="239"/>
      <c r="AB531" s="239"/>
      <c r="AC531" s="239"/>
      <c r="AD531" s="239"/>
      <c r="AE531" s="239"/>
      <c r="AF531" s="239"/>
      <c r="AG531" s="239"/>
      <c r="AH531" s="239"/>
      <c r="AI531" s="239"/>
      <c r="AJ531" s="239"/>
      <c r="AK531" s="239"/>
      <c r="AL531" s="239"/>
      <c r="AM531" s="4"/>
      <c r="AN531" s="4"/>
    </row>
    <row r="532" ht="15.75" customHeight="1">
      <c r="A532" s="4"/>
      <c r="B532" s="4"/>
      <c r="C532" s="12"/>
      <c r="D532" s="4"/>
      <c r="E532" s="4"/>
      <c r="F532" s="4"/>
      <c r="G532" s="4"/>
      <c r="H532" s="4"/>
      <c r="I532" s="237"/>
      <c r="J532" s="238"/>
      <c r="K532" s="238"/>
      <c r="L532" s="239"/>
      <c r="M532" s="239"/>
      <c r="N532" s="239"/>
      <c r="O532" s="240"/>
      <c r="P532" s="238"/>
      <c r="Q532" s="241"/>
      <c r="R532" s="239"/>
      <c r="S532" s="239"/>
      <c r="T532" s="239"/>
      <c r="U532" s="240"/>
      <c r="V532" s="238"/>
      <c r="W532" s="242"/>
      <c r="X532" s="239"/>
      <c r="Y532" s="239"/>
      <c r="Z532" s="239"/>
      <c r="AA532" s="239"/>
      <c r="AB532" s="239"/>
      <c r="AC532" s="239"/>
      <c r="AD532" s="239"/>
      <c r="AE532" s="239"/>
      <c r="AF532" s="239"/>
      <c r="AG532" s="239"/>
      <c r="AH532" s="239"/>
      <c r="AI532" s="239"/>
      <c r="AJ532" s="239"/>
      <c r="AK532" s="239"/>
      <c r="AL532" s="239"/>
      <c r="AM532" s="4"/>
      <c r="AN532" s="4"/>
    </row>
    <row r="533" ht="15.75" customHeight="1">
      <c r="A533" s="4"/>
      <c r="B533" s="4"/>
      <c r="C533" s="12"/>
      <c r="D533" s="4"/>
      <c r="E533" s="4"/>
      <c r="F533" s="4"/>
      <c r="G533" s="4"/>
      <c r="H533" s="4"/>
      <c r="I533" s="237"/>
      <c r="J533" s="238"/>
      <c r="K533" s="238"/>
      <c r="L533" s="239"/>
      <c r="M533" s="239"/>
      <c r="N533" s="239"/>
      <c r="O533" s="240"/>
      <c r="P533" s="238"/>
      <c r="Q533" s="241"/>
      <c r="R533" s="239"/>
      <c r="S533" s="239"/>
      <c r="T533" s="239"/>
      <c r="U533" s="240"/>
      <c r="V533" s="238"/>
      <c r="W533" s="242"/>
      <c r="X533" s="239"/>
      <c r="Y533" s="239"/>
      <c r="Z533" s="239"/>
      <c r="AA533" s="239"/>
      <c r="AB533" s="239"/>
      <c r="AC533" s="239"/>
      <c r="AD533" s="239"/>
      <c r="AE533" s="239"/>
      <c r="AF533" s="239"/>
      <c r="AG533" s="239"/>
      <c r="AH533" s="239"/>
      <c r="AI533" s="239"/>
      <c r="AJ533" s="239"/>
      <c r="AK533" s="239"/>
      <c r="AL533" s="239"/>
      <c r="AM533" s="4"/>
      <c r="AN533" s="4"/>
    </row>
    <row r="534" ht="15.75" customHeight="1">
      <c r="A534" s="4"/>
      <c r="B534" s="4"/>
      <c r="C534" s="12"/>
      <c r="D534" s="4"/>
      <c r="E534" s="4"/>
      <c r="F534" s="4"/>
      <c r="G534" s="4"/>
      <c r="H534" s="4"/>
      <c r="I534" s="237"/>
      <c r="J534" s="238"/>
      <c r="K534" s="238"/>
      <c r="L534" s="239"/>
      <c r="M534" s="239"/>
      <c r="N534" s="239"/>
      <c r="O534" s="240"/>
      <c r="P534" s="238"/>
      <c r="Q534" s="241"/>
      <c r="R534" s="239"/>
      <c r="S534" s="239"/>
      <c r="T534" s="239"/>
      <c r="U534" s="240"/>
      <c r="V534" s="238"/>
      <c r="W534" s="242"/>
      <c r="X534" s="239"/>
      <c r="Y534" s="239"/>
      <c r="Z534" s="239"/>
      <c r="AA534" s="239"/>
      <c r="AB534" s="239"/>
      <c r="AC534" s="239"/>
      <c r="AD534" s="239"/>
      <c r="AE534" s="239"/>
      <c r="AF534" s="239"/>
      <c r="AG534" s="239"/>
      <c r="AH534" s="239"/>
      <c r="AI534" s="239"/>
      <c r="AJ534" s="239"/>
      <c r="AK534" s="239"/>
      <c r="AL534" s="239"/>
      <c r="AM534" s="4"/>
      <c r="AN534" s="4"/>
    </row>
    <row r="535" ht="15.75" customHeight="1">
      <c r="A535" s="4"/>
      <c r="B535" s="4"/>
      <c r="C535" s="12"/>
      <c r="D535" s="4"/>
      <c r="E535" s="4"/>
      <c r="F535" s="4"/>
      <c r="G535" s="4"/>
      <c r="H535" s="4"/>
      <c r="I535" s="237"/>
      <c r="J535" s="238"/>
      <c r="K535" s="238"/>
      <c r="L535" s="239"/>
      <c r="M535" s="239"/>
      <c r="N535" s="239"/>
      <c r="O535" s="240"/>
      <c r="P535" s="238"/>
      <c r="Q535" s="241"/>
      <c r="R535" s="239"/>
      <c r="S535" s="239"/>
      <c r="T535" s="239"/>
      <c r="U535" s="240"/>
      <c r="V535" s="238"/>
      <c r="W535" s="242"/>
      <c r="X535" s="239"/>
      <c r="Y535" s="239"/>
      <c r="Z535" s="239"/>
      <c r="AA535" s="239"/>
      <c r="AB535" s="239"/>
      <c r="AC535" s="239"/>
      <c r="AD535" s="239"/>
      <c r="AE535" s="239"/>
      <c r="AF535" s="239"/>
      <c r="AG535" s="239"/>
      <c r="AH535" s="239"/>
      <c r="AI535" s="239"/>
      <c r="AJ535" s="239"/>
      <c r="AK535" s="239"/>
      <c r="AL535" s="239"/>
      <c r="AM535" s="4"/>
      <c r="AN535" s="4"/>
    </row>
    <row r="536" ht="15.75" customHeight="1">
      <c r="A536" s="4"/>
      <c r="B536" s="4"/>
      <c r="C536" s="12"/>
      <c r="D536" s="4"/>
      <c r="E536" s="4"/>
      <c r="F536" s="4"/>
      <c r="G536" s="4"/>
      <c r="H536" s="4"/>
      <c r="I536" s="237"/>
      <c r="J536" s="238"/>
      <c r="K536" s="238"/>
      <c r="L536" s="239"/>
      <c r="M536" s="239"/>
      <c r="N536" s="239"/>
      <c r="O536" s="240"/>
      <c r="P536" s="238"/>
      <c r="Q536" s="241"/>
      <c r="R536" s="239"/>
      <c r="S536" s="239"/>
      <c r="T536" s="239"/>
      <c r="U536" s="240"/>
      <c r="V536" s="238"/>
      <c r="W536" s="242"/>
      <c r="X536" s="239"/>
      <c r="Y536" s="239"/>
      <c r="Z536" s="239"/>
      <c r="AA536" s="239"/>
      <c r="AB536" s="239"/>
      <c r="AC536" s="239"/>
      <c r="AD536" s="239"/>
      <c r="AE536" s="239"/>
      <c r="AF536" s="239"/>
      <c r="AG536" s="239"/>
      <c r="AH536" s="239"/>
      <c r="AI536" s="239"/>
      <c r="AJ536" s="239"/>
      <c r="AK536" s="239"/>
      <c r="AL536" s="239"/>
      <c r="AM536" s="4"/>
      <c r="AN536" s="4"/>
    </row>
    <row r="537" ht="15.75" customHeight="1">
      <c r="A537" s="4"/>
      <c r="B537" s="4"/>
      <c r="C537" s="12"/>
      <c r="D537" s="4"/>
      <c r="E537" s="4"/>
      <c r="F537" s="4"/>
      <c r="G537" s="4"/>
      <c r="H537" s="4"/>
      <c r="I537" s="237"/>
      <c r="J537" s="238"/>
      <c r="K537" s="238"/>
      <c r="L537" s="239"/>
      <c r="M537" s="239"/>
      <c r="N537" s="239"/>
      <c r="O537" s="240"/>
      <c r="P537" s="238"/>
      <c r="Q537" s="241"/>
      <c r="R537" s="239"/>
      <c r="S537" s="239"/>
      <c r="T537" s="239"/>
      <c r="U537" s="240"/>
      <c r="V537" s="238"/>
      <c r="W537" s="242"/>
      <c r="X537" s="239"/>
      <c r="Y537" s="239"/>
      <c r="Z537" s="239"/>
      <c r="AA537" s="239"/>
      <c r="AB537" s="239"/>
      <c r="AC537" s="239"/>
      <c r="AD537" s="239"/>
      <c r="AE537" s="239"/>
      <c r="AF537" s="239"/>
      <c r="AG537" s="239"/>
      <c r="AH537" s="239"/>
      <c r="AI537" s="239"/>
      <c r="AJ537" s="239"/>
      <c r="AK537" s="239"/>
      <c r="AL537" s="239"/>
      <c r="AM537" s="4"/>
      <c r="AN537" s="4"/>
    </row>
    <row r="538" ht="15.75" customHeight="1">
      <c r="A538" s="4"/>
      <c r="B538" s="4"/>
      <c r="C538" s="12"/>
      <c r="D538" s="4"/>
      <c r="E538" s="4"/>
      <c r="F538" s="4"/>
      <c r="G538" s="4"/>
      <c r="H538" s="4"/>
      <c r="I538" s="237"/>
      <c r="J538" s="238"/>
      <c r="K538" s="238"/>
      <c r="L538" s="239"/>
      <c r="M538" s="239"/>
      <c r="N538" s="239"/>
      <c r="O538" s="240"/>
      <c r="P538" s="238"/>
      <c r="Q538" s="241"/>
      <c r="R538" s="239"/>
      <c r="S538" s="239"/>
      <c r="T538" s="239"/>
      <c r="U538" s="240"/>
      <c r="V538" s="238"/>
      <c r="W538" s="242"/>
      <c r="X538" s="239"/>
      <c r="Y538" s="239"/>
      <c r="Z538" s="239"/>
      <c r="AA538" s="239"/>
      <c r="AB538" s="239"/>
      <c r="AC538" s="239"/>
      <c r="AD538" s="239"/>
      <c r="AE538" s="239"/>
      <c r="AF538" s="239"/>
      <c r="AG538" s="239"/>
      <c r="AH538" s="239"/>
      <c r="AI538" s="239"/>
      <c r="AJ538" s="239"/>
      <c r="AK538" s="239"/>
      <c r="AL538" s="239"/>
      <c r="AM538" s="4"/>
      <c r="AN538" s="4"/>
    </row>
    <row r="539" ht="15.75" customHeight="1">
      <c r="A539" s="4"/>
      <c r="B539" s="4"/>
      <c r="C539" s="12"/>
      <c r="D539" s="4"/>
      <c r="E539" s="4"/>
      <c r="F539" s="4"/>
      <c r="G539" s="4"/>
      <c r="H539" s="4"/>
      <c r="I539" s="237"/>
      <c r="J539" s="238"/>
      <c r="K539" s="238"/>
      <c r="L539" s="239"/>
      <c r="M539" s="239"/>
      <c r="N539" s="239"/>
      <c r="O539" s="240"/>
      <c r="P539" s="238"/>
      <c r="Q539" s="241"/>
      <c r="R539" s="239"/>
      <c r="S539" s="239"/>
      <c r="T539" s="239"/>
      <c r="U539" s="240"/>
      <c r="V539" s="238"/>
      <c r="W539" s="242"/>
      <c r="X539" s="239"/>
      <c r="Y539" s="239"/>
      <c r="Z539" s="239"/>
      <c r="AA539" s="239"/>
      <c r="AB539" s="239"/>
      <c r="AC539" s="239"/>
      <c r="AD539" s="239"/>
      <c r="AE539" s="239"/>
      <c r="AF539" s="239"/>
      <c r="AG539" s="239"/>
      <c r="AH539" s="239"/>
      <c r="AI539" s="239"/>
      <c r="AJ539" s="239"/>
      <c r="AK539" s="239"/>
      <c r="AL539" s="239"/>
      <c r="AM539" s="4"/>
      <c r="AN539" s="4"/>
    </row>
    <row r="540" ht="15.75" customHeight="1">
      <c r="A540" s="4"/>
      <c r="B540" s="4"/>
      <c r="C540" s="12"/>
      <c r="D540" s="4"/>
      <c r="E540" s="4"/>
      <c r="F540" s="4"/>
      <c r="G540" s="4"/>
      <c r="H540" s="4"/>
      <c r="I540" s="237"/>
      <c r="J540" s="238"/>
      <c r="K540" s="238"/>
      <c r="L540" s="239"/>
      <c r="M540" s="239"/>
      <c r="N540" s="239"/>
      <c r="O540" s="240"/>
      <c r="P540" s="238"/>
      <c r="Q540" s="241"/>
      <c r="R540" s="239"/>
      <c r="S540" s="239"/>
      <c r="T540" s="239"/>
      <c r="U540" s="240"/>
      <c r="V540" s="238"/>
      <c r="W540" s="242"/>
      <c r="X540" s="239"/>
      <c r="Y540" s="239"/>
      <c r="Z540" s="239"/>
      <c r="AA540" s="239"/>
      <c r="AB540" s="239"/>
      <c r="AC540" s="239"/>
      <c r="AD540" s="239"/>
      <c r="AE540" s="239"/>
      <c r="AF540" s="239"/>
      <c r="AG540" s="239"/>
      <c r="AH540" s="239"/>
      <c r="AI540" s="239"/>
      <c r="AJ540" s="239"/>
      <c r="AK540" s="239"/>
      <c r="AL540" s="239"/>
      <c r="AM540" s="4"/>
      <c r="AN540" s="4"/>
    </row>
    <row r="541" ht="15.75" customHeight="1">
      <c r="A541" s="4"/>
      <c r="B541" s="4"/>
      <c r="C541" s="12"/>
      <c r="D541" s="4"/>
      <c r="E541" s="4"/>
      <c r="F541" s="4"/>
      <c r="G541" s="4"/>
      <c r="H541" s="4"/>
      <c r="I541" s="237"/>
      <c r="J541" s="238"/>
      <c r="K541" s="238"/>
      <c r="L541" s="239"/>
      <c r="M541" s="239"/>
      <c r="N541" s="239"/>
      <c r="O541" s="240"/>
      <c r="P541" s="238"/>
      <c r="Q541" s="241"/>
      <c r="R541" s="239"/>
      <c r="S541" s="239"/>
      <c r="T541" s="239"/>
      <c r="U541" s="240"/>
      <c r="V541" s="238"/>
      <c r="W541" s="242"/>
      <c r="X541" s="239"/>
      <c r="Y541" s="239"/>
      <c r="Z541" s="239"/>
      <c r="AA541" s="239"/>
      <c r="AB541" s="239"/>
      <c r="AC541" s="239"/>
      <c r="AD541" s="239"/>
      <c r="AE541" s="239"/>
      <c r="AF541" s="239"/>
      <c r="AG541" s="239"/>
      <c r="AH541" s="239"/>
      <c r="AI541" s="239"/>
      <c r="AJ541" s="239"/>
      <c r="AK541" s="239"/>
      <c r="AL541" s="239"/>
      <c r="AM541" s="4"/>
      <c r="AN541" s="4"/>
    </row>
    <row r="542" ht="15.75" customHeight="1">
      <c r="A542" s="4"/>
      <c r="B542" s="4"/>
      <c r="C542" s="12"/>
      <c r="D542" s="4"/>
      <c r="E542" s="4"/>
      <c r="F542" s="4"/>
      <c r="G542" s="4"/>
      <c r="H542" s="4"/>
      <c r="I542" s="237"/>
      <c r="J542" s="238"/>
      <c r="K542" s="238"/>
      <c r="L542" s="239"/>
      <c r="M542" s="239"/>
      <c r="N542" s="239"/>
      <c r="O542" s="240"/>
      <c r="P542" s="238"/>
      <c r="Q542" s="241"/>
      <c r="R542" s="239"/>
      <c r="S542" s="239"/>
      <c r="T542" s="239"/>
      <c r="U542" s="240"/>
      <c r="V542" s="238"/>
      <c r="W542" s="242"/>
      <c r="X542" s="239"/>
      <c r="Y542" s="239"/>
      <c r="Z542" s="239"/>
      <c r="AA542" s="239"/>
      <c r="AB542" s="239"/>
      <c r="AC542" s="239"/>
      <c r="AD542" s="239"/>
      <c r="AE542" s="239"/>
      <c r="AF542" s="239"/>
      <c r="AG542" s="239"/>
      <c r="AH542" s="239"/>
      <c r="AI542" s="239"/>
      <c r="AJ542" s="239"/>
      <c r="AK542" s="239"/>
      <c r="AL542" s="239"/>
      <c r="AM542" s="4"/>
      <c r="AN542" s="4"/>
    </row>
    <row r="543" ht="15.75" customHeight="1">
      <c r="A543" s="4"/>
      <c r="B543" s="4"/>
      <c r="C543" s="12"/>
      <c r="D543" s="4"/>
      <c r="E543" s="4"/>
      <c r="F543" s="4"/>
      <c r="G543" s="4"/>
      <c r="H543" s="4"/>
      <c r="I543" s="237"/>
      <c r="J543" s="238"/>
      <c r="K543" s="238"/>
      <c r="L543" s="239"/>
      <c r="M543" s="239"/>
      <c r="N543" s="239"/>
      <c r="O543" s="240"/>
      <c r="P543" s="238"/>
      <c r="Q543" s="241"/>
      <c r="R543" s="239"/>
      <c r="S543" s="239"/>
      <c r="T543" s="239"/>
      <c r="U543" s="240"/>
      <c r="V543" s="238"/>
      <c r="W543" s="242"/>
      <c r="X543" s="239"/>
      <c r="Y543" s="239"/>
      <c r="Z543" s="239"/>
      <c r="AA543" s="239"/>
      <c r="AB543" s="239"/>
      <c r="AC543" s="239"/>
      <c r="AD543" s="239"/>
      <c r="AE543" s="239"/>
      <c r="AF543" s="239"/>
      <c r="AG543" s="239"/>
      <c r="AH543" s="239"/>
      <c r="AI543" s="239"/>
      <c r="AJ543" s="239"/>
      <c r="AK543" s="239"/>
      <c r="AL543" s="239"/>
      <c r="AM543" s="4"/>
      <c r="AN543" s="4"/>
    </row>
    <row r="544" ht="15.75" customHeight="1">
      <c r="A544" s="4"/>
      <c r="B544" s="4"/>
      <c r="C544" s="12"/>
      <c r="D544" s="4"/>
      <c r="E544" s="4"/>
      <c r="F544" s="4"/>
      <c r="G544" s="4"/>
      <c r="H544" s="4"/>
      <c r="I544" s="237"/>
      <c r="J544" s="238"/>
      <c r="K544" s="238"/>
      <c r="L544" s="239"/>
      <c r="M544" s="239"/>
      <c r="N544" s="239"/>
      <c r="O544" s="240"/>
      <c r="P544" s="238"/>
      <c r="Q544" s="241"/>
      <c r="R544" s="239"/>
      <c r="S544" s="239"/>
      <c r="T544" s="239"/>
      <c r="U544" s="240"/>
      <c r="V544" s="238"/>
      <c r="W544" s="242"/>
      <c r="X544" s="239"/>
      <c r="Y544" s="239"/>
      <c r="Z544" s="239"/>
      <c r="AA544" s="239"/>
      <c r="AB544" s="239"/>
      <c r="AC544" s="239"/>
      <c r="AD544" s="239"/>
      <c r="AE544" s="239"/>
      <c r="AF544" s="239"/>
      <c r="AG544" s="239"/>
      <c r="AH544" s="239"/>
      <c r="AI544" s="239"/>
      <c r="AJ544" s="239"/>
      <c r="AK544" s="239"/>
      <c r="AL544" s="239"/>
      <c r="AM544" s="4"/>
      <c r="AN544" s="4"/>
    </row>
    <row r="545" ht="15.75" customHeight="1">
      <c r="A545" s="4"/>
      <c r="B545" s="4"/>
      <c r="C545" s="12"/>
      <c r="D545" s="4"/>
      <c r="E545" s="4"/>
      <c r="F545" s="4"/>
      <c r="G545" s="4"/>
      <c r="H545" s="4"/>
      <c r="I545" s="237"/>
      <c r="J545" s="238"/>
      <c r="K545" s="238"/>
      <c r="L545" s="239"/>
      <c r="M545" s="239"/>
      <c r="N545" s="239"/>
      <c r="O545" s="240"/>
      <c r="P545" s="238"/>
      <c r="Q545" s="241"/>
      <c r="R545" s="239"/>
      <c r="S545" s="239"/>
      <c r="T545" s="239"/>
      <c r="U545" s="240"/>
      <c r="V545" s="238"/>
      <c r="W545" s="242"/>
      <c r="X545" s="239"/>
      <c r="Y545" s="239"/>
      <c r="Z545" s="239"/>
      <c r="AA545" s="239"/>
      <c r="AB545" s="239"/>
      <c r="AC545" s="239"/>
      <c r="AD545" s="239"/>
      <c r="AE545" s="239"/>
      <c r="AF545" s="239"/>
      <c r="AG545" s="239"/>
      <c r="AH545" s="239"/>
      <c r="AI545" s="239"/>
      <c r="AJ545" s="239"/>
      <c r="AK545" s="239"/>
      <c r="AL545" s="239"/>
      <c r="AM545" s="4"/>
      <c r="AN545" s="4"/>
    </row>
    <row r="546" ht="15.75" customHeight="1">
      <c r="A546" s="4"/>
      <c r="B546" s="4"/>
      <c r="C546" s="12"/>
      <c r="D546" s="4"/>
      <c r="E546" s="4"/>
      <c r="F546" s="4"/>
      <c r="G546" s="4"/>
      <c r="H546" s="4"/>
      <c r="I546" s="237"/>
      <c r="J546" s="238"/>
      <c r="K546" s="238"/>
      <c r="L546" s="239"/>
      <c r="M546" s="239"/>
      <c r="N546" s="239"/>
      <c r="O546" s="240"/>
      <c r="P546" s="238"/>
      <c r="Q546" s="241"/>
      <c r="R546" s="239"/>
      <c r="S546" s="239"/>
      <c r="T546" s="239"/>
      <c r="U546" s="240"/>
      <c r="V546" s="238"/>
      <c r="W546" s="242"/>
      <c r="X546" s="239"/>
      <c r="Y546" s="239"/>
      <c r="Z546" s="239"/>
      <c r="AA546" s="239"/>
      <c r="AB546" s="239"/>
      <c r="AC546" s="239"/>
      <c r="AD546" s="239"/>
      <c r="AE546" s="239"/>
      <c r="AF546" s="239"/>
      <c r="AG546" s="239"/>
      <c r="AH546" s="239"/>
      <c r="AI546" s="239"/>
      <c r="AJ546" s="239"/>
      <c r="AK546" s="239"/>
      <c r="AL546" s="239"/>
      <c r="AM546" s="4"/>
      <c r="AN546" s="4"/>
    </row>
    <row r="547" ht="15.75" customHeight="1">
      <c r="A547" s="4"/>
      <c r="B547" s="4"/>
      <c r="C547" s="12"/>
      <c r="D547" s="4"/>
      <c r="E547" s="4"/>
      <c r="F547" s="4"/>
      <c r="G547" s="4"/>
      <c r="H547" s="4"/>
      <c r="I547" s="237"/>
      <c r="J547" s="238"/>
      <c r="K547" s="238"/>
      <c r="L547" s="239"/>
      <c r="M547" s="239"/>
      <c r="N547" s="239"/>
      <c r="O547" s="240"/>
      <c r="P547" s="238"/>
      <c r="Q547" s="241"/>
      <c r="R547" s="239"/>
      <c r="S547" s="239"/>
      <c r="T547" s="239"/>
      <c r="U547" s="240"/>
      <c r="V547" s="238"/>
      <c r="W547" s="242"/>
      <c r="X547" s="239"/>
      <c r="Y547" s="239"/>
      <c r="Z547" s="239"/>
      <c r="AA547" s="239"/>
      <c r="AB547" s="239"/>
      <c r="AC547" s="239"/>
      <c r="AD547" s="239"/>
      <c r="AE547" s="239"/>
      <c r="AF547" s="239"/>
      <c r="AG547" s="239"/>
      <c r="AH547" s="239"/>
      <c r="AI547" s="239"/>
      <c r="AJ547" s="239"/>
      <c r="AK547" s="239"/>
      <c r="AL547" s="239"/>
      <c r="AM547" s="4"/>
      <c r="AN547" s="4"/>
    </row>
    <row r="548" ht="15.75" customHeight="1">
      <c r="A548" s="4"/>
      <c r="B548" s="4"/>
      <c r="C548" s="12"/>
      <c r="D548" s="4"/>
      <c r="E548" s="4"/>
      <c r="F548" s="4"/>
      <c r="G548" s="4"/>
      <c r="H548" s="4"/>
      <c r="I548" s="237"/>
      <c r="J548" s="238"/>
      <c r="K548" s="238"/>
      <c r="L548" s="239"/>
      <c r="M548" s="239"/>
      <c r="N548" s="239"/>
      <c r="O548" s="240"/>
      <c r="P548" s="238"/>
      <c r="Q548" s="241"/>
      <c r="R548" s="239"/>
      <c r="S548" s="239"/>
      <c r="T548" s="239"/>
      <c r="U548" s="240"/>
      <c r="V548" s="238"/>
      <c r="W548" s="242"/>
      <c r="X548" s="239"/>
      <c r="Y548" s="239"/>
      <c r="Z548" s="239"/>
      <c r="AA548" s="239"/>
      <c r="AB548" s="239"/>
      <c r="AC548" s="239"/>
      <c r="AD548" s="239"/>
      <c r="AE548" s="239"/>
      <c r="AF548" s="239"/>
      <c r="AG548" s="239"/>
      <c r="AH548" s="239"/>
      <c r="AI548" s="239"/>
      <c r="AJ548" s="239"/>
      <c r="AK548" s="239"/>
      <c r="AL548" s="239"/>
      <c r="AM548" s="4"/>
      <c r="AN548" s="4"/>
    </row>
    <row r="549" ht="15.75" customHeight="1">
      <c r="A549" s="4"/>
      <c r="B549" s="4"/>
      <c r="C549" s="12"/>
      <c r="D549" s="4"/>
      <c r="E549" s="4"/>
      <c r="F549" s="4"/>
      <c r="G549" s="4"/>
      <c r="H549" s="4"/>
      <c r="I549" s="237"/>
      <c r="J549" s="238"/>
      <c r="K549" s="238"/>
      <c r="L549" s="239"/>
      <c r="M549" s="239"/>
      <c r="N549" s="239"/>
      <c r="O549" s="240"/>
      <c r="P549" s="238"/>
      <c r="Q549" s="241"/>
      <c r="R549" s="239"/>
      <c r="S549" s="239"/>
      <c r="T549" s="239"/>
      <c r="U549" s="240"/>
      <c r="V549" s="238"/>
      <c r="W549" s="242"/>
      <c r="X549" s="239"/>
      <c r="Y549" s="239"/>
      <c r="Z549" s="239"/>
      <c r="AA549" s="239"/>
      <c r="AB549" s="239"/>
      <c r="AC549" s="239"/>
      <c r="AD549" s="239"/>
      <c r="AE549" s="239"/>
      <c r="AF549" s="239"/>
      <c r="AG549" s="239"/>
      <c r="AH549" s="239"/>
      <c r="AI549" s="239"/>
      <c r="AJ549" s="239"/>
      <c r="AK549" s="239"/>
      <c r="AL549" s="239"/>
      <c r="AM549" s="4"/>
      <c r="AN549" s="4"/>
    </row>
    <row r="550" ht="15.75" customHeight="1">
      <c r="A550" s="4"/>
      <c r="B550" s="4"/>
      <c r="C550" s="12"/>
      <c r="D550" s="4"/>
      <c r="E550" s="4"/>
      <c r="F550" s="4"/>
      <c r="G550" s="4"/>
      <c r="H550" s="4"/>
      <c r="I550" s="237"/>
      <c r="J550" s="238"/>
      <c r="K550" s="238"/>
      <c r="L550" s="239"/>
      <c r="M550" s="239"/>
      <c r="N550" s="239"/>
      <c r="O550" s="240"/>
      <c r="P550" s="238"/>
      <c r="Q550" s="241"/>
      <c r="R550" s="239"/>
      <c r="S550" s="239"/>
      <c r="T550" s="239"/>
      <c r="U550" s="240"/>
      <c r="V550" s="238"/>
      <c r="W550" s="242"/>
      <c r="X550" s="239"/>
      <c r="Y550" s="239"/>
      <c r="Z550" s="239"/>
      <c r="AA550" s="239"/>
      <c r="AB550" s="239"/>
      <c r="AC550" s="239"/>
      <c r="AD550" s="239"/>
      <c r="AE550" s="239"/>
      <c r="AF550" s="239"/>
      <c r="AG550" s="239"/>
      <c r="AH550" s="239"/>
      <c r="AI550" s="239"/>
      <c r="AJ550" s="239"/>
      <c r="AK550" s="239"/>
      <c r="AL550" s="239"/>
      <c r="AM550" s="4"/>
      <c r="AN550" s="4"/>
    </row>
    <row r="551" ht="15.75" customHeight="1">
      <c r="A551" s="4"/>
      <c r="B551" s="4"/>
      <c r="C551" s="12"/>
      <c r="D551" s="4"/>
      <c r="E551" s="4"/>
      <c r="F551" s="4"/>
      <c r="G551" s="4"/>
      <c r="H551" s="4"/>
      <c r="I551" s="237"/>
      <c r="J551" s="238"/>
      <c r="K551" s="238"/>
      <c r="L551" s="239"/>
      <c r="M551" s="239"/>
      <c r="N551" s="239"/>
      <c r="O551" s="240"/>
      <c r="P551" s="238"/>
      <c r="Q551" s="241"/>
      <c r="R551" s="239"/>
      <c r="S551" s="239"/>
      <c r="T551" s="239"/>
      <c r="U551" s="240"/>
      <c r="V551" s="238"/>
      <c r="W551" s="242"/>
      <c r="X551" s="239"/>
      <c r="Y551" s="239"/>
      <c r="Z551" s="239"/>
      <c r="AA551" s="239"/>
      <c r="AB551" s="239"/>
      <c r="AC551" s="239"/>
      <c r="AD551" s="239"/>
      <c r="AE551" s="239"/>
      <c r="AF551" s="239"/>
      <c r="AG551" s="239"/>
      <c r="AH551" s="239"/>
      <c r="AI551" s="239"/>
      <c r="AJ551" s="239"/>
      <c r="AK551" s="239"/>
      <c r="AL551" s="239"/>
      <c r="AM551" s="4"/>
      <c r="AN551" s="4"/>
    </row>
    <row r="552" ht="15.75" customHeight="1">
      <c r="A552" s="4"/>
      <c r="B552" s="4"/>
      <c r="C552" s="12"/>
      <c r="D552" s="4"/>
      <c r="E552" s="4"/>
      <c r="F552" s="4"/>
      <c r="G552" s="4"/>
      <c r="H552" s="4"/>
      <c r="I552" s="237"/>
      <c r="J552" s="238"/>
      <c r="K552" s="238"/>
      <c r="L552" s="239"/>
      <c r="M552" s="239"/>
      <c r="N552" s="239"/>
      <c r="O552" s="240"/>
      <c r="P552" s="238"/>
      <c r="Q552" s="241"/>
      <c r="R552" s="239"/>
      <c r="S552" s="239"/>
      <c r="T552" s="239"/>
      <c r="U552" s="240"/>
      <c r="V552" s="238"/>
      <c r="W552" s="242"/>
      <c r="X552" s="239"/>
      <c r="Y552" s="239"/>
      <c r="Z552" s="239"/>
      <c r="AA552" s="239"/>
      <c r="AB552" s="239"/>
      <c r="AC552" s="239"/>
      <c r="AD552" s="239"/>
      <c r="AE552" s="239"/>
      <c r="AF552" s="239"/>
      <c r="AG552" s="239"/>
      <c r="AH552" s="239"/>
      <c r="AI552" s="239"/>
      <c r="AJ552" s="239"/>
      <c r="AK552" s="239"/>
      <c r="AL552" s="239"/>
      <c r="AM552" s="4"/>
      <c r="AN552" s="4"/>
    </row>
    <row r="553" ht="15.75" customHeight="1">
      <c r="A553" s="4"/>
      <c r="B553" s="4"/>
      <c r="C553" s="12"/>
      <c r="D553" s="4"/>
      <c r="E553" s="4"/>
      <c r="F553" s="4"/>
      <c r="G553" s="4"/>
      <c r="H553" s="4"/>
      <c r="I553" s="237"/>
      <c r="J553" s="238"/>
      <c r="K553" s="238"/>
      <c r="L553" s="239"/>
      <c r="M553" s="239"/>
      <c r="N553" s="239"/>
      <c r="O553" s="240"/>
      <c r="P553" s="238"/>
      <c r="Q553" s="241"/>
      <c r="R553" s="239"/>
      <c r="S553" s="239"/>
      <c r="T553" s="239"/>
      <c r="U553" s="240"/>
      <c r="V553" s="238"/>
      <c r="W553" s="242"/>
      <c r="X553" s="239"/>
      <c r="Y553" s="239"/>
      <c r="Z553" s="239"/>
      <c r="AA553" s="239"/>
      <c r="AB553" s="239"/>
      <c r="AC553" s="239"/>
      <c r="AD553" s="239"/>
      <c r="AE553" s="239"/>
      <c r="AF553" s="239"/>
      <c r="AG553" s="239"/>
      <c r="AH553" s="239"/>
      <c r="AI553" s="239"/>
      <c r="AJ553" s="239"/>
      <c r="AK553" s="239"/>
      <c r="AL553" s="239"/>
      <c r="AM553" s="4"/>
      <c r="AN553" s="4"/>
    </row>
    <row r="554" ht="15.75" customHeight="1">
      <c r="A554" s="4"/>
      <c r="B554" s="4"/>
      <c r="C554" s="12"/>
      <c r="D554" s="4"/>
      <c r="E554" s="4"/>
      <c r="F554" s="4"/>
      <c r="G554" s="4"/>
      <c r="H554" s="4"/>
      <c r="I554" s="237"/>
      <c r="J554" s="238"/>
      <c r="K554" s="238"/>
      <c r="L554" s="239"/>
      <c r="M554" s="239"/>
      <c r="N554" s="239"/>
      <c r="O554" s="240"/>
      <c r="P554" s="238"/>
      <c r="Q554" s="241"/>
      <c r="R554" s="239"/>
      <c r="S554" s="239"/>
      <c r="T554" s="239"/>
      <c r="U554" s="240"/>
      <c r="V554" s="238"/>
      <c r="W554" s="242"/>
      <c r="X554" s="239"/>
      <c r="Y554" s="239"/>
      <c r="Z554" s="239"/>
      <c r="AA554" s="239"/>
      <c r="AB554" s="239"/>
      <c r="AC554" s="239"/>
      <c r="AD554" s="239"/>
      <c r="AE554" s="239"/>
      <c r="AF554" s="239"/>
      <c r="AG554" s="239"/>
      <c r="AH554" s="239"/>
      <c r="AI554" s="239"/>
      <c r="AJ554" s="239"/>
      <c r="AK554" s="239"/>
      <c r="AL554" s="239"/>
      <c r="AM554" s="4"/>
      <c r="AN554" s="4"/>
    </row>
    <row r="555" ht="15.75" customHeight="1">
      <c r="A555" s="4"/>
      <c r="B555" s="4"/>
      <c r="C555" s="12"/>
      <c r="D555" s="4"/>
      <c r="E555" s="4"/>
      <c r="F555" s="4"/>
      <c r="G555" s="4"/>
      <c r="H555" s="4"/>
      <c r="I555" s="237"/>
      <c r="J555" s="238"/>
      <c r="K555" s="238"/>
      <c r="L555" s="239"/>
      <c r="M555" s="239"/>
      <c r="N555" s="239"/>
      <c r="O555" s="240"/>
      <c r="P555" s="238"/>
      <c r="Q555" s="241"/>
      <c r="R555" s="239"/>
      <c r="S555" s="239"/>
      <c r="T555" s="239"/>
      <c r="U555" s="240"/>
      <c r="V555" s="238"/>
      <c r="W555" s="242"/>
      <c r="X555" s="239"/>
      <c r="Y555" s="239"/>
      <c r="Z555" s="239"/>
      <c r="AA555" s="239"/>
      <c r="AB555" s="239"/>
      <c r="AC555" s="239"/>
      <c r="AD555" s="239"/>
      <c r="AE555" s="239"/>
      <c r="AF555" s="239"/>
      <c r="AG555" s="239"/>
      <c r="AH555" s="239"/>
      <c r="AI555" s="239"/>
      <c r="AJ555" s="239"/>
      <c r="AK555" s="239"/>
      <c r="AL555" s="239"/>
      <c r="AM555" s="4"/>
      <c r="AN555" s="4"/>
    </row>
    <row r="556" ht="15.75" customHeight="1">
      <c r="A556" s="4"/>
      <c r="B556" s="4"/>
      <c r="C556" s="12"/>
      <c r="D556" s="4"/>
      <c r="E556" s="4"/>
      <c r="F556" s="4"/>
      <c r="G556" s="4"/>
      <c r="H556" s="4"/>
      <c r="I556" s="237"/>
      <c r="J556" s="238"/>
      <c r="K556" s="238"/>
      <c r="L556" s="239"/>
      <c r="M556" s="239"/>
      <c r="N556" s="239"/>
      <c r="O556" s="240"/>
      <c r="P556" s="238"/>
      <c r="Q556" s="241"/>
      <c r="R556" s="239"/>
      <c r="S556" s="239"/>
      <c r="T556" s="239"/>
      <c r="U556" s="240"/>
      <c r="V556" s="238"/>
      <c r="W556" s="242"/>
      <c r="X556" s="239"/>
      <c r="Y556" s="239"/>
      <c r="Z556" s="239"/>
      <c r="AA556" s="239"/>
      <c r="AB556" s="239"/>
      <c r="AC556" s="239"/>
      <c r="AD556" s="239"/>
      <c r="AE556" s="239"/>
      <c r="AF556" s="239"/>
      <c r="AG556" s="239"/>
      <c r="AH556" s="239"/>
      <c r="AI556" s="239"/>
      <c r="AJ556" s="239"/>
      <c r="AK556" s="239"/>
      <c r="AL556" s="239"/>
      <c r="AM556" s="4"/>
      <c r="AN556" s="4"/>
    </row>
    <row r="557" ht="15.75" customHeight="1">
      <c r="A557" s="4"/>
      <c r="B557" s="4"/>
      <c r="C557" s="12"/>
      <c r="D557" s="4"/>
      <c r="E557" s="4"/>
      <c r="F557" s="4"/>
      <c r="G557" s="4"/>
      <c r="H557" s="4"/>
      <c r="I557" s="237"/>
      <c r="J557" s="238"/>
      <c r="K557" s="238"/>
      <c r="L557" s="239"/>
      <c r="M557" s="239"/>
      <c r="N557" s="239"/>
      <c r="O557" s="240"/>
      <c r="P557" s="238"/>
      <c r="Q557" s="241"/>
      <c r="R557" s="239"/>
      <c r="S557" s="239"/>
      <c r="T557" s="239"/>
      <c r="U557" s="240"/>
      <c r="V557" s="238"/>
      <c r="W557" s="242"/>
      <c r="X557" s="239"/>
      <c r="Y557" s="239"/>
      <c r="Z557" s="239"/>
      <c r="AA557" s="239"/>
      <c r="AB557" s="239"/>
      <c r="AC557" s="239"/>
      <c r="AD557" s="239"/>
      <c r="AE557" s="239"/>
      <c r="AF557" s="239"/>
      <c r="AG557" s="239"/>
      <c r="AH557" s="239"/>
      <c r="AI557" s="239"/>
      <c r="AJ557" s="239"/>
      <c r="AK557" s="239"/>
      <c r="AL557" s="239"/>
      <c r="AM557" s="4"/>
      <c r="AN557" s="4"/>
    </row>
    <row r="558" ht="15.75" customHeight="1">
      <c r="A558" s="4"/>
      <c r="B558" s="4"/>
      <c r="C558" s="12"/>
      <c r="D558" s="4"/>
      <c r="E558" s="4"/>
      <c r="F558" s="4"/>
      <c r="G558" s="4"/>
      <c r="H558" s="4"/>
      <c r="I558" s="237"/>
      <c r="J558" s="238"/>
      <c r="K558" s="238"/>
      <c r="L558" s="239"/>
      <c r="M558" s="239"/>
      <c r="N558" s="239"/>
      <c r="O558" s="240"/>
      <c r="P558" s="238"/>
      <c r="Q558" s="241"/>
      <c r="R558" s="239"/>
      <c r="S558" s="239"/>
      <c r="T558" s="239"/>
      <c r="U558" s="240"/>
      <c r="V558" s="238"/>
      <c r="W558" s="242"/>
      <c r="X558" s="239"/>
      <c r="Y558" s="239"/>
      <c r="Z558" s="239"/>
      <c r="AA558" s="239"/>
      <c r="AB558" s="239"/>
      <c r="AC558" s="239"/>
      <c r="AD558" s="239"/>
      <c r="AE558" s="239"/>
      <c r="AF558" s="239"/>
      <c r="AG558" s="239"/>
      <c r="AH558" s="239"/>
      <c r="AI558" s="239"/>
      <c r="AJ558" s="239"/>
      <c r="AK558" s="239"/>
      <c r="AL558" s="239"/>
      <c r="AM558" s="4"/>
      <c r="AN558" s="4"/>
    </row>
    <row r="559" ht="15.75" customHeight="1">
      <c r="A559" s="4"/>
      <c r="B559" s="4"/>
      <c r="C559" s="12"/>
      <c r="D559" s="4"/>
      <c r="E559" s="4"/>
      <c r="F559" s="4"/>
      <c r="G559" s="4"/>
      <c r="H559" s="4"/>
      <c r="I559" s="237"/>
      <c r="J559" s="238"/>
      <c r="K559" s="238"/>
      <c r="L559" s="239"/>
      <c r="M559" s="239"/>
      <c r="N559" s="239"/>
      <c r="O559" s="240"/>
      <c r="P559" s="238"/>
      <c r="Q559" s="241"/>
      <c r="R559" s="239"/>
      <c r="S559" s="239"/>
      <c r="T559" s="239"/>
      <c r="U559" s="240"/>
      <c r="V559" s="238"/>
      <c r="W559" s="242"/>
      <c r="X559" s="239"/>
      <c r="Y559" s="239"/>
      <c r="Z559" s="239"/>
      <c r="AA559" s="239"/>
      <c r="AB559" s="239"/>
      <c r="AC559" s="239"/>
      <c r="AD559" s="239"/>
      <c r="AE559" s="239"/>
      <c r="AF559" s="239"/>
      <c r="AG559" s="239"/>
      <c r="AH559" s="239"/>
      <c r="AI559" s="239"/>
      <c r="AJ559" s="239"/>
      <c r="AK559" s="239"/>
      <c r="AL559" s="239"/>
      <c r="AM559" s="4"/>
      <c r="AN559" s="4"/>
    </row>
    <row r="560" ht="15.75" customHeight="1">
      <c r="A560" s="4"/>
      <c r="B560" s="4"/>
      <c r="C560" s="12"/>
      <c r="D560" s="4"/>
      <c r="E560" s="4"/>
      <c r="F560" s="4"/>
      <c r="G560" s="4"/>
      <c r="H560" s="4"/>
      <c r="I560" s="237"/>
      <c r="J560" s="238"/>
      <c r="K560" s="238"/>
      <c r="L560" s="239"/>
      <c r="M560" s="239"/>
      <c r="N560" s="239"/>
      <c r="O560" s="240"/>
      <c r="P560" s="238"/>
      <c r="Q560" s="241"/>
      <c r="R560" s="239"/>
      <c r="S560" s="239"/>
      <c r="T560" s="239"/>
      <c r="U560" s="240"/>
      <c r="V560" s="238"/>
      <c r="W560" s="242"/>
      <c r="X560" s="239"/>
      <c r="Y560" s="239"/>
      <c r="Z560" s="239"/>
      <c r="AA560" s="239"/>
      <c r="AB560" s="239"/>
      <c r="AC560" s="239"/>
      <c r="AD560" s="239"/>
      <c r="AE560" s="239"/>
      <c r="AF560" s="239"/>
      <c r="AG560" s="239"/>
      <c r="AH560" s="239"/>
      <c r="AI560" s="239"/>
      <c r="AJ560" s="239"/>
      <c r="AK560" s="239"/>
      <c r="AL560" s="239"/>
      <c r="AM560" s="4"/>
      <c r="AN560" s="4"/>
    </row>
    <row r="561" ht="15.75" customHeight="1">
      <c r="A561" s="4"/>
      <c r="B561" s="4"/>
      <c r="C561" s="12"/>
      <c r="D561" s="4"/>
      <c r="E561" s="4"/>
      <c r="F561" s="4"/>
      <c r="G561" s="4"/>
      <c r="H561" s="4"/>
      <c r="I561" s="237"/>
      <c r="J561" s="238"/>
      <c r="K561" s="238"/>
      <c r="L561" s="239"/>
      <c r="M561" s="239"/>
      <c r="N561" s="239"/>
      <c r="O561" s="240"/>
      <c r="P561" s="238"/>
      <c r="Q561" s="241"/>
      <c r="R561" s="239"/>
      <c r="S561" s="239"/>
      <c r="T561" s="239"/>
      <c r="U561" s="240"/>
      <c r="V561" s="238"/>
      <c r="W561" s="242"/>
      <c r="X561" s="239"/>
      <c r="Y561" s="239"/>
      <c r="Z561" s="239"/>
      <c r="AA561" s="239"/>
      <c r="AB561" s="239"/>
      <c r="AC561" s="239"/>
      <c r="AD561" s="239"/>
      <c r="AE561" s="239"/>
      <c r="AF561" s="239"/>
      <c r="AG561" s="239"/>
      <c r="AH561" s="239"/>
      <c r="AI561" s="239"/>
      <c r="AJ561" s="239"/>
      <c r="AK561" s="239"/>
      <c r="AL561" s="239"/>
      <c r="AM561" s="4"/>
      <c r="AN561" s="4"/>
    </row>
    <row r="562" ht="15.75" customHeight="1">
      <c r="A562" s="4"/>
      <c r="B562" s="4"/>
      <c r="C562" s="12"/>
      <c r="D562" s="4"/>
      <c r="E562" s="4"/>
      <c r="F562" s="4"/>
      <c r="G562" s="4"/>
      <c r="H562" s="4"/>
      <c r="I562" s="237"/>
      <c r="J562" s="238"/>
      <c r="K562" s="238"/>
      <c r="L562" s="239"/>
      <c r="M562" s="239"/>
      <c r="N562" s="239"/>
      <c r="O562" s="240"/>
      <c r="P562" s="238"/>
      <c r="Q562" s="241"/>
      <c r="R562" s="239"/>
      <c r="S562" s="239"/>
      <c r="T562" s="239"/>
      <c r="U562" s="240"/>
      <c r="V562" s="238"/>
      <c r="W562" s="242"/>
      <c r="X562" s="239"/>
      <c r="Y562" s="239"/>
      <c r="Z562" s="239"/>
      <c r="AA562" s="239"/>
      <c r="AB562" s="239"/>
      <c r="AC562" s="239"/>
      <c r="AD562" s="239"/>
      <c r="AE562" s="239"/>
      <c r="AF562" s="239"/>
      <c r="AG562" s="239"/>
      <c r="AH562" s="239"/>
      <c r="AI562" s="239"/>
      <c r="AJ562" s="239"/>
      <c r="AK562" s="239"/>
      <c r="AL562" s="239"/>
      <c r="AM562" s="4"/>
      <c r="AN562" s="4"/>
    </row>
    <row r="563" ht="15.75" customHeight="1">
      <c r="A563" s="4"/>
      <c r="B563" s="4"/>
      <c r="C563" s="12"/>
      <c r="D563" s="4"/>
      <c r="E563" s="4"/>
      <c r="F563" s="4"/>
      <c r="G563" s="4"/>
      <c r="H563" s="4"/>
      <c r="I563" s="237"/>
      <c r="J563" s="238"/>
      <c r="K563" s="238"/>
      <c r="L563" s="239"/>
      <c r="M563" s="239"/>
      <c r="N563" s="239"/>
      <c r="O563" s="240"/>
      <c r="P563" s="238"/>
      <c r="Q563" s="241"/>
      <c r="R563" s="239"/>
      <c r="S563" s="239"/>
      <c r="T563" s="239"/>
      <c r="U563" s="240"/>
      <c r="V563" s="238"/>
      <c r="W563" s="242"/>
      <c r="X563" s="239"/>
      <c r="Y563" s="239"/>
      <c r="Z563" s="239"/>
      <c r="AA563" s="239"/>
      <c r="AB563" s="239"/>
      <c r="AC563" s="239"/>
      <c r="AD563" s="239"/>
      <c r="AE563" s="239"/>
      <c r="AF563" s="239"/>
      <c r="AG563" s="239"/>
      <c r="AH563" s="239"/>
      <c r="AI563" s="239"/>
      <c r="AJ563" s="239"/>
      <c r="AK563" s="239"/>
      <c r="AL563" s="239"/>
      <c r="AM563" s="4"/>
      <c r="AN563" s="4"/>
    </row>
    <row r="564" ht="15.75" customHeight="1">
      <c r="A564" s="4"/>
      <c r="B564" s="4"/>
      <c r="C564" s="12"/>
      <c r="D564" s="4"/>
      <c r="E564" s="4"/>
      <c r="F564" s="4"/>
      <c r="G564" s="4"/>
      <c r="H564" s="4"/>
      <c r="I564" s="237"/>
      <c r="J564" s="238"/>
      <c r="K564" s="238"/>
      <c r="L564" s="239"/>
      <c r="M564" s="239"/>
      <c r="N564" s="239"/>
      <c r="O564" s="240"/>
      <c r="P564" s="238"/>
      <c r="Q564" s="241"/>
      <c r="R564" s="239"/>
      <c r="S564" s="239"/>
      <c r="T564" s="239"/>
      <c r="U564" s="240"/>
      <c r="V564" s="238"/>
      <c r="W564" s="242"/>
      <c r="X564" s="239"/>
      <c r="Y564" s="239"/>
      <c r="Z564" s="239"/>
      <c r="AA564" s="239"/>
      <c r="AB564" s="239"/>
      <c r="AC564" s="239"/>
      <c r="AD564" s="239"/>
      <c r="AE564" s="239"/>
      <c r="AF564" s="239"/>
      <c r="AG564" s="239"/>
      <c r="AH564" s="239"/>
      <c r="AI564" s="239"/>
      <c r="AJ564" s="239"/>
      <c r="AK564" s="239"/>
      <c r="AL564" s="239"/>
      <c r="AM564" s="4"/>
      <c r="AN564" s="4"/>
    </row>
    <row r="565" ht="15.75" customHeight="1">
      <c r="A565" s="4"/>
      <c r="B565" s="4"/>
      <c r="C565" s="12"/>
      <c r="D565" s="4"/>
      <c r="E565" s="4"/>
      <c r="F565" s="4"/>
      <c r="G565" s="4"/>
      <c r="H565" s="4"/>
      <c r="I565" s="237"/>
      <c r="J565" s="238"/>
      <c r="K565" s="238"/>
      <c r="L565" s="239"/>
      <c r="M565" s="239"/>
      <c r="N565" s="239"/>
      <c r="O565" s="240"/>
      <c r="P565" s="238"/>
      <c r="Q565" s="241"/>
      <c r="R565" s="239"/>
      <c r="S565" s="239"/>
      <c r="T565" s="239"/>
      <c r="U565" s="240"/>
      <c r="V565" s="238"/>
      <c r="W565" s="242"/>
      <c r="X565" s="239"/>
      <c r="Y565" s="239"/>
      <c r="Z565" s="239"/>
      <c r="AA565" s="239"/>
      <c r="AB565" s="239"/>
      <c r="AC565" s="239"/>
      <c r="AD565" s="239"/>
      <c r="AE565" s="239"/>
      <c r="AF565" s="239"/>
      <c r="AG565" s="239"/>
      <c r="AH565" s="239"/>
      <c r="AI565" s="239"/>
      <c r="AJ565" s="239"/>
      <c r="AK565" s="239"/>
      <c r="AL565" s="239"/>
      <c r="AM565" s="4"/>
      <c r="AN565" s="4"/>
    </row>
    <row r="566" ht="15.75" customHeight="1">
      <c r="A566" s="4"/>
      <c r="B566" s="4"/>
      <c r="C566" s="12"/>
      <c r="D566" s="4"/>
      <c r="E566" s="4"/>
      <c r="F566" s="4"/>
      <c r="G566" s="4"/>
      <c r="H566" s="4"/>
      <c r="I566" s="237"/>
      <c r="J566" s="238"/>
      <c r="K566" s="238"/>
      <c r="L566" s="239"/>
      <c r="M566" s="239"/>
      <c r="N566" s="239"/>
      <c r="O566" s="240"/>
      <c r="P566" s="238"/>
      <c r="Q566" s="241"/>
      <c r="R566" s="239"/>
      <c r="S566" s="239"/>
      <c r="T566" s="239"/>
      <c r="U566" s="240"/>
      <c r="V566" s="238"/>
      <c r="W566" s="242"/>
      <c r="X566" s="239"/>
      <c r="Y566" s="239"/>
      <c r="Z566" s="239"/>
      <c r="AA566" s="239"/>
      <c r="AB566" s="239"/>
      <c r="AC566" s="239"/>
      <c r="AD566" s="239"/>
      <c r="AE566" s="239"/>
      <c r="AF566" s="239"/>
      <c r="AG566" s="239"/>
      <c r="AH566" s="239"/>
      <c r="AI566" s="239"/>
      <c r="AJ566" s="239"/>
      <c r="AK566" s="239"/>
      <c r="AL566" s="239"/>
      <c r="AM566" s="4"/>
      <c r="AN566" s="4"/>
    </row>
    <row r="567" ht="15.75" customHeight="1">
      <c r="A567" s="4"/>
      <c r="B567" s="4"/>
      <c r="C567" s="12"/>
      <c r="D567" s="4"/>
      <c r="E567" s="4"/>
      <c r="F567" s="4"/>
      <c r="G567" s="4"/>
      <c r="H567" s="4"/>
      <c r="I567" s="237"/>
      <c r="J567" s="238"/>
      <c r="K567" s="238"/>
      <c r="L567" s="239"/>
      <c r="M567" s="239"/>
      <c r="N567" s="239"/>
      <c r="O567" s="240"/>
      <c r="P567" s="238"/>
      <c r="Q567" s="241"/>
      <c r="R567" s="239"/>
      <c r="S567" s="239"/>
      <c r="T567" s="239"/>
      <c r="U567" s="240"/>
      <c r="V567" s="238"/>
      <c r="W567" s="242"/>
      <c r="X567" s="239"/>
      <c r="Y567" s="239"/>
      <c r="Z567" s="239"/>
      <c r="AA567" s="239"/>
      <c r="AB567" s="239"/>
      <c r="AC567" s="239"/>
      <c r="AD567" s="239"/>
      <c r="AE567" s="239"/>
      <c r="AF567" s="239"/>
      <c r="AG567" s="239"/>
      <c r="AH567" s="239"/>
      <c r="AI567" s="239"/>
      <c r="AJ567" s="239"/>
      <c r="AK567" s="239"/>
      <c r="AL567" s="239"/>
      <c r="AM567" s="4"/>
      <c r="AN567" s="4"/>
    </row>
    <row r="568" ht="15.75" customHeight="1">
      <c r="A568" s="4"/>
      <c r="B568" s="4"/>
      <c r="C568" s="12"/>
      <c r="D568" s="4"/>
      <c r="E568" s="4"/>
      <c r="F568" s="4"/>
      <c r="G568" s="4"/>
      <c r="H568" s="4"/>
      <c r="I568" s="237"/>
      <c r="J568" s="238"/>
      <c r="K568" s="238"/>
      <c r="L568" s="239"/>
      <c r="M568" s="239"/>
      <c r="N568" s="239"/>
      <c r="O568" s="240"/>
      <c r="P568" s="238"/>
      <c r="Q568" s="241"/>
      <c r="R568" s="239"/>
      <c r="S568" s="239"/>
      <c r="T568" s="239"/>
      <c r="U568" s="240"/>
      <c r="V568" s="238"/>
      <c r="W568" s="242"/>
      <c r="X568" s="239"/>
      <c r="Y568" s="239"/>
      <c r="Z568" s="239"/>
      <c r="AA568" s="239"/>
      <c r="AB568" s="239"/>
      <c r="AC568" s="239"/>
      <c r="AD568" s="239"/>
      <c r="AE568" s="239"/>
      <c r="AF568" s="239"/>
      <c r="AG568" s="239"/>
      <c r="AH568" s="239"/>
      <c r="AI568" s="239"/>
      <c r="AJ568" s="239"/>
      <c r="AK568" s="239"/>
      <c r="AL568" s="239"/>
      <c r="AM568" s="4"/>
      <c r="AN568" s="4"/>
    </row>
    <row r="569" ht="15.75" customHeight="1">
      <c r="A569" s="4"/>
      <c r="B569" s="4"/>
      <c r="C569" s="12"/>
      <c r="D569" s="4"/>
      <c r="E569" s="4"/>
      <c r="F569" s="4"/>
      <c r="G569" s="4"/>
      <c r="H569" s="4"/>
      <c r="I569" s="237"/>
      <c r="J569" s="238"/>
      <c r="K569" s="238"/>
      <c r="L569" s="239"/>
      <c r="M569" s="239"/>
      <c r="N569" s="239"/>
      <c r="O569" s="240"/>
      <c r="P569" s="238"/>
      <c r="Q569" s="241"/>
      <c r="R569" s="239"/>
      <c r="S569" s="239"/>
      <c r="T569" s="239"/>
      <c r="U569" s="240"/>
      <c r="V569" s="238"/>
      <c r="W569" s="242"/>
      <c r="X569" s="239"/>
      <c r="Y569" s="239"/>
      <c r="Z569" s="239"/>
      <c r="AA569" s="239"/>
      <c r="AB569" s="239"/>
      <c r="AC569" s="239"/>
      <c r="AD569" s="239"/>
      <c r="AE569" s="239"/>
      <c r="AF569" s="239"/>
      <c r="AG569" s="239"/>
      <c r="AH569" s="239"/>
      <c r="AI569" s="239"/>
      <c r="AJ569" s="239"/>
      <c r="AK569" s="239"/>
      <c r="AL569" s="239"/>
      <c r="AM569" s="4"/>
      <c r="AN569" s="4"/>
    </row>
    <row r="570" ht="15.75" customHeight="1">
      <c r="A570" s="4"/>
      <c r="B570" s="4"/>
      <c r="C570" s="12"/>
      <c r="D570" s="4"/>
      <c r="E570" s="4"/>
      <c r="F570" s="4"/>
      <c r="G570" s="4"/>
      <c r="H570" s="4"/>
      <c r="I570" s="237"/>
      <c r="J570" s="238"/>
      <c r="K570" s="238"/>
      <c r="L570" s="239"/>
      <c r="M570" s="239"/>
      <c r="N570" s="239"/>
      <c r="O570" s="240"/>
      <c r="P570" s="238"/>
      <c r="Q570" s="241"/>
      <c r="R570" s="239"/>
      <c r="S570" s="239"/>
      <c r="T570" s="239"/>
      <c r="U570" s="240"/>
      <c r="V570" s="238"/>
      <c r="W570" s="242"/>
      <c r="X570" s="239"/>
      <c r="Y570" s="239"/>
      <c r="Z570" s="239"/>
      <c r="AA570" s="239"/>
      <c r="AB570" s="239"/>
      <c r="AC570" s="239"/>
      <c r="AD570" s="239"/>
      <c r="AE570" s="239"/>
      <c r="AF570" s="239"/>
      <c r="AG570" s="239"/>
      <c r="AH570" s="239"/>
      <c r="AI570" s="239"/>
      <c r="AJ570" s="239"/>
      <c r="AK570" s="239"/>
      <c r="AL570" s="239"/>
      <c r="AM570" s="4"/>
      <c r="AN570" s="4"/>
    </row>
    <row r="571" ht="15.75" customHeight="1">
      <c r="A571" s="4"/>
      <c r="B571" s="4"/>
      <c r="C571" s="12"/>
      <c r="D571" s="4"/>
      <c r="E571" s="4"/>
      <c r="F571" s="4"/>
      <c r="G571" s="4"/>
      <c r="H571" s="4"/>
      <c r="I571" s="237"/>
      <c r="J571" s="238"/>
      <c r="K571" s="238"/>
      <c r="L571" s="239"/>
      <c r="M571" s="239"/>
      <c r="N571" s="239"/>
      <c r="O571" s="240"/>
      <c r="P571" s="238"/>
      <c r="Q571" s="241"/>
      <c r="R571" s="239"/>
      <c r="S571" s="239"/>
      <c r="T571" s="239"/>
      <c r="U571" s="240"/>
      <c r="V571" s="238"/>
      <c r="W571" s="242"/>
      <c r="X571" s="239"/>
      <c r="Y571" s="239"/>
      <c r="Z571" s="239"/>
      <c r="AA571" s="239"/>
      <c r="AB571" s="239"/>
      <c r="AC571" s="239"/>
      <c r="AD571" s="239"/>
      <c r="AE571" s="239"/>
      <c r="AF571" s="239"/>
      <c r="AG571" s="239"/>
      <c r="AH571" s="239"/>
      <c r="AI571" s="239"/>
      <c r="AJ571" s="239"/>
      <c r="AK571" s="239"/>
      <c r="AL571" s="239"/>
      <c r="AM571" s="4"/>
      <c r="AN571" s="4"/>
    </row>
    <row r="572" ht="15.75" customHeight="1">
      <c r="A572" s="4"/>
      <c r="B572" s="4"/>
      <c r="C572" s="12"/>
      <c r="D572" s="4"/>
      <c r="E572" s="4"/>
      <c r="F572" s="4"/>
      <c r="G572" s="4"/>
      <c r="H572" s="4"/>
      <c r="I572" s="237"/>
      <c r="J572" s="238"/>
      <c r="K572" s="238"/>
      <c r="L572" s="239"/>
      <c r="M572" s="239"/>
      <c r="N572" s="239"/>
      <c r="O572" s="240"/>
      <c r="P572" s="238"/>
      <c r="Q572" s="241"/>
      <c r="R572" s="239"/>
      <c r="S572" s="239"/>
      <c r="T572" s="239"/>
      <c r="U572" s="240"/>
      <c r="V572" s="238"/>
      <c r="W572" s="242"/>
      <c r="X572" s="239"/>
      <c r="Y572" s="239"/>
      <c r="Z572" s="239"/>
      <c r="AA572" s="239"/>
      <c r="AB572" s="239"/>
      <c r="AC572" s="239"/>
      <c r="AD572" s="239"/>
      <c r="AE572" s="239"/>
      <c r="AF572" s="239"/>
      <c r="AG572" s="239"/>
      <c r="AH572" s="239"/>
      <c r="AI572" s="239"/>
      <c r="AJ572" s="239"/>
      <c r="AK572" s="239"/>
      <c r="AL572" s="239"/>
      <c r="AM572" s="4"/>
      <c r="AN572" s="4"/>
    </row>
    <row r="573" ht="15.75" customHeight="1">
      <c r="A573" s="4"/>
      <c r="B573" s="4"/>
      <c r="C573" s="12"/>
      <c r="D573" s="4"/>
      <c r="E573" s="4"/>
      <c r="F573" s="4"/>
      <c r="G573" s="4"/>
      <c r="H573" s="4"/>
      <c r="I573" s="237"/>
      <c r="J573" s="238"/>
      <c r="K573" s="238"/>
      <c r="L573" s="239"/>
      <c r="M573" s="239"/>
      <c r="N573" s="239"/>
      <c r="O573" s="240"/>
      <c r="P573" s="238"/>
      <c r="Q573" s="241"/>
      <c r="R573" s="239"/>
      <c r="S573" s="239"/>
      <c r="T573" s="239"/>
      <c r="U573" s="240"/>
      <c r="V573" s="238"/>
      <c r="W573" s="242"/>
      <c r="X573" s="239"/>
      <c r="Y573" s="239"/>
      <c r="Z573" s="239"/>
      <c r="AA573" s="239"/>
      <c r="AB573" s="239"/>
      <c r="AC573" s="239"/>
      <c r="AD573" s="239"/>
      <c r="AE573" s="239"/>
      <c r="AF573" s="239"/>
      <c r="AG573" s="239"/>
      <c r="AH573" s="239"/>
      <c r="AI573" s="239"/>
      <c r="AJ573" s="239"/>
      <c r="AK573" s="239"/>
      <c r="AL573" s="239"/>
      <c r="AM573" s="4"/>
      <c r="AN573" s="4"/>
    </row>
    <row r="574" ht="15.75" customHeight="1">
      <c r="A574" s="4"/>
      <c r="B574" s="4"/>
      <c r="C574" s="12"/>
      <c r="D574" s="4"/>
      <c r="E574" s="4"/>
      <c r="F574" s="4"/>
      <c r="G574" s="4"/>
      <c r="H574" s="4"/>
      <c r="I574" s="237"/>
      <c r="J574" s="238"/>
      <c r="K574" s="238"/>
      <c r="L574" s="239"/>
      <c r="M574" s="239"/>
      <c r="N574" s="239"/>
      <c r="O574" s="240"/>
      <c r="P574" s="238"/>
      <c r="Q574" s="241"/>
      <c r="R574" s="239"/>
      <c r="S574" s="239"/>
      <c r="T574" s="239"/>
      <c r="U574" s="240"/>
      <c r="V574" s="238"/>
      <c r="W574" s="242"/>
      <c r="X574" s="239"/>
      <c r="Y574" s="239"/>
      <c r="Z574" s="239"/>
      <c r="AA574" s="239"/>
      <c r="AB574" s="239"/>
      <c r="AC574" s="239"/>
      <c r="AD574" s="239"/>
      <c r="AE574" s="239"/>
      <c r="AF574" s="239"/>
      <c r="AG574" s="239"/>
      <c r="AH574" s="239"/>
      <c r="AI574" s="239"/>
      <c r="AJ574" s="239"/>
      <c r="AK574" s="239"/>
      <c r="AL574" s="239"/>
      <c r="AM574" s="4"/>
      <c r="AN574" s="4"/>
    </row>
    <row r="575" ht="15.75" customHeight="1">
      <c r="A575" s="4"/>
      <c r="B575" s="4"/>
      <c r="C575" s="12"/>
      <c r="D575" s="4"/>
      <c r="E575" s="4"/>
      <c r="F575" s="4"/>
      <c r="G575" s="4"/>
      <c r="H575" s="4"/>
      <c r="I575" s="237"/>
      <c r="J575" s="238"/>
      <c r="K575" s="238"/>
      <c r="L575" s="239"/>
      <c r="M575" s="239"/>
      <c r="N575" s="239"/>
      <c r="O575" s="240"/>
      <c r="P575" s="238"/>
      <c r="Q575" s="241"/>
      <c r="R575" s="239"/>
      <c r="S575" s="239"/>
      <c r="T575" s="239"/>
      <c r="U575" s="240"/>
      <c r="V575" s="238"/>
      <c r="W575" s="242"/>
      <c r="X575" s="239"/>
      <c r="Y575" s="239"/>
      <c r="Z575" s="239"/>
      <c r="AA575" s="239"/>
      <c r="AB575" s="239"/>
      <c r="AC575" s="239"/>
      <c r="AD575" s="239"/>
      <c r="AE575" s="239"/>
      <c r="AF575" s="239"/>
      <c r="AG575" s="239"/>
      <c r="AH575" s="239"/>
      <c r="AI575" s="239"/>
      <c r="AJ575" s="239"/>
      <c r="AK575" s="239"/>
      <c r="AL575" s="239"/>
      <c r="AM575" s="4"/>
      <c r="AN575" s="4"/>
    </row>
    <row r="576" ht="15.75" customHeight="1">
      <c r="A576" s="4"/>
      <c r="B576" s="4"/>
      <c r="C576" s="12"/>
      <c r="D576" s="4"/>
      <c r="E576" s="4"/>
      <c r="F576" s="4"/>
      <c r="G576" s="4"/>
      <c r="H576" s="4"/>
      <c r="I576" s="237"/>
      <c r="J576" s="238"/>
      <c r="K576" s="238"/>
      <c r="L576" s="239"/>
      <c r="M576" s="239"/>
      <c r="N576" s="239"/>
      <c r="O576" s="240"/>
      <c r="P576" s="238"/>
      <c r="Q576" s="241"/>
      <c r="R576" s="239"/>
      <c r="S576" s="239"/>
      <c r="T576" s="239"/>
      <c r="U576" s="240"/>
      <c r="V576" s="238"/>
      <c r="W576" s="242"/>
      <c r="X576" s="239"/>
      <c r="Y576" s="239"/>
      <c r="Z576" s="239"/>
      <c r="AA576" s="239"/>
      <c r="AB576" s="239"/>
      <c r="AC576" s="239"/>
      <c r="AD576" s="239"/>
      <c r="AE576" s="239"/>
      <c r="AF576" s="239"/>
      <c r="AG576" s="239"/>
      <c r="AH576" s="239"/>
      <c r="AI576" s="239"/>
      <c r="AJ576" s="239"/>
      <c r="AK576" s="239"/>
      <c r="AL576" s="239"/>
      <c r="AM576" s="4"/>
      <c r="AN576" s="4"/>
    </row>
    <row r="577" ht="15.75" customHeight="1">
      <c r="A577" s="4"/>
      <c r="B577" s="4"/>
      <c r="C577" s="12"/>
      <c r="D577" s="4"/>
      <c r="E577" s="4"/>
      <c r="F577" s="4"/>
      <c r="G577" s="4"/>
      <c r="H577" s="4"/>
      <c r="I577" s="237"/>
      <c r="J577" s="238"/>
      <c r="K577" s="238"/>
      <c r="L577" s="239"/>
      <c r="M577" s="239"/>
      <c r="N577" s="239"/>
      <c r="O577" s="240"/>
      <c r="P577" s="238"/>
      <c r="Q577" s="241"/>
      <c r="R577" s="239"/>
      <c r="S577" s="239"/>
      <c r="T577" s="239"/>
      <c r="U577" s="240"/>
      <c r="V577" s="238"/>
      <c r="W577" s="242"/>
      <c r="X577" s="239"/>
      <c r="Y577" s="239"/>
      <c r="Z577" s="239"/>
      <c r="AA577" s="239"/>
      <c r="AB577" s="239"/>
      <c r="AC577" s="239"/>
      <c r="AD577" s="239"/>
      <c r="AE577" s="239"/>
      <c r="AF577" s="239"/>
      <c r="AG577" s="239"/>
      <c r="AH577" s="239"/>
      <c r="AI577" s="239"/>
      <c r="AJ577" s="239"/>
      <c r="AK577" s="239"/>
      <c r="AL577" s="239"/>
      <c r="AM577" s="4"/>
      <c r="AN577" s="4"/>
    </row>
    <row r="578" ht="15.75" customHeight="1">
      <c r="A578" s="4"/>
      <c r="B578" s="4"/>
      <c r="C578" s="12"/>
      <c r="D578" s="4"/>
      <c r="E578" s="4"/>
      <c r="F578" s="4"/>
      <c r="G578" s="4"/>
      <c r="H578" s="4"/>
      <c r="I578" s="237"/>
      <c r="J578" s="238"/>
      <c r="K578" s="238"/>
      <c r="L578" s="239"/>
      <c r="M578" s="239"/>
      <c r="N578" s="239"/>
      <c r="O578" s="240"/>
      <c r="P578" s="238"/>
      <c r="Q578" s="241"/>
      <c r="R578" s="239"/>
      <c r="S578" s="239"/>
      <c r="T578" s="239"/>
      <c r="U578" s="240"/>
      <c r="V578" s="238"/>
      <c r="W578" s="242"/>
      <c r="X578" s="239"/>
      <c r="Y578" s="239"/>
      <c r="Z578" s="239"/>
      <c r="AA578" s="239"/>
      <c r="AB578" s="239"/>
      <c r="AC578" s="239"/>
      <c r="AD578" s="239"/>
      <c r="AE578" s="239"/>
      <c r="AF578" s="239"/>
      <c r="AG578" s="239"/>
      <c r="AH578" s="239"/>
      <c r="AI578" s="239"/>
      <c r="AJ578" s="239"/>
      <c r="AK578" s="239"/>
      <c r="AL578" s="239"/>
      <c r="AM578" s="4"/>
      <c r="AN578" s="4"/>
    </row>
    <row r="579" ht="15.75" customHeight="1">
      <c r="A579" s="4"/>
      <c r="B579" s="4"/>
      <c r="C579" s="12"/>
      <c r="D579" s="4"/>
      <c r="E579" s="4"/>
      <c r="F579" s="4"/>
      <c r="G579" s="4"/>
      <c r="H579" s="4"/>
      <c r="I579" s="237"/>
      <c r="J579" s="238"/>
      <c r="K579" s="238"/>
      <c r="L579" s="239"/>
      <c r="M579" s="239"/>
      <c r="N579" s="239"/>
      <c r="O579" s="240"/>
      <c r="P579" s="238"/>
      <c r="Q579" s="241"/>
      <c r="R579" s="239"/>
      <c r="S579" s="239"/>
      <c r="T579" s="239"/>
      <c r="U579" s="240"/>
      <c r="V579" s="238"/>
      <c r="W579" s="242"/>
      <c r="X579" s="239"/>
      <c r="Y579" s="239"/>
      <c r="Z579" s="239"/>
      <c r="AA579" s="239"/>
      <c r="AB579" s="239"/>
      <c r="AC579" s="239"/>
      <c r="AD579" s="239"/>
      <c r="AE579" s="239"/>
      <c r="AF579" s="239"/>
      <c r="AG579" s="239"/>
      <c r="AH579" s="239"/>
      <c r="AI579" s="239"/>
      <c r="AJ579" s="239"/>
      <c r="AK579" s="239"/>
      <c r="AL579" s="239"/>
      <c r="AM579" s="4"/>
      <c r="AN579" s="4"/>
    </row>
    <row r="580" ht="15.75" customHeight="1">
      <c r="A580" s="4"/>
      <c r="B580" s="4"/>
      <c r="C580" s="12"/>
      <c r="D580" s="4"/>
      <c r="E580" s="4"/>
      <c r="F580" s="4"/>
      <c r="G580" s="4"/>
      <c r="H580" s="4"/>
      <c r="I580" s="237"/>
      <c r="J580" s="238"/>
      <c r="K580" s="238"/>
      <c r="L580" s="239"/>
      <c r="M580" s="239"/>
      <c r="N580" s="239"/>
      <c r="O580" s="240"/>
      <c r="P580" s="238"/>
      <c r="Q580" s="241"/>
      <c r="R580" s="239"/>
      <c r="S580" s="239"/>
      <c r="T580" s="239"/>
      <c r="U580" s="240"/>
      <c r="V580" s="238"/>
      <c r="W580" s="242"/>
      <c r="X580" s="239"/>
      <c r="Y580" s="239"/>
      <c r="Z580" s="239"/>
      <c r="AA580" s="239"/>
      <c r="AB580" s="239"/>
      <c r="AC580" s="239"/>
      <c r="AD580" s="239"/>
      <c r="AE580" s="239"/>
      <c r="AF580" s="239"/>
      <c r="AG580" s="239"/>
      <c r="AH580" s="239"/>
      <c r="AI580" s="239"/>
      <c r="AJ580" s="239"/>
      <c r="AK580" s="239"/>
      <c r="AL580" s="239"/>
      <c r="AM580" s="4"/>
      <c r="AN580" s="4"/>
    </row>
    <row r="581" ht="15.75" customHeight="1">
      <c r="A581" s="4"/>
      <c r="B581" s="4"/>
      <c r="C581" s="12"/>
      <c r="D581" s="4"/>
      <c r="E581" s="4"/>
      <c r="F581" s="4"/>
      <c r="G581" s="4"/>
      <c r="H581" s="4"/>
      <c r="I581" s="237"/>
      <c r="J581" s="238"/>
      <c r="K581" s="238"/>
      <c r="L581" s="239"/>
      <c r="M581" s="239"/>
      <c r="N581" s="239"/>
      <c r="O581" s="240"/>
      <c r="P581" s="238"/>
      <c r="Q581" s="241"/>
      <c r="R581" s="239"/>
      <c r="S581" s="239"/>
      <c r="T581" s="239"/>
      <c r="U581" s="240"/>
      <c r="V581" s="238"/>
      <c r="W581" s="242"/>
      <c r="X581" s="239"/>
      <c r="Y581" s="239"/>
      <c r="Z581" s="239"/>
      <c r="AA581" s="239"/>
      <c r="AB581" s="239"/>
      <c r="AC581" s="239"/>
      <c r="AD581" s="239"/>
      <c r="AE581" s="239"/>
      <c r="AF581" s="239"/>
      <c r="AG581" s="239"/>
      <c r="AH581" s="239"/>
      <c r="AI581" s="239"/>
      <c r="AJ581" s="239"/>
      <c r="AK581" s="239"/>
      <c r="AL581" s="239"/>
      <c r="AM581" s="4"/>
      <c r="AN581" s="4"/>
    </row>
    <row r="582" ht="15.75" customHeight="1">
      <c r="A582" s="4"/>
      <c r="B582" s="4"/>
      <c r="C582" s="12"/>
      <c r="D582" s="4"/>
      <c r="E582" s="4"/>
      <c r="F582" s="4"/>
      <c r="G582" s="4"/>
      <c r="H582" s="4"/>
      <c r="I582" s="237"/>
      <c r="J582" s="238"/>
      <c r="K582" s="238"/>
      <c r="L582" s="239"/>
      <c r="M582" s="239"/>
      <c r="N582" s="239"/>
      <c r="O582" s="240"/>
      <c r="P582" s="238"/>
      <c r="Q582" s="241"/>
      <c r="R582" s="239"/>
      <c r="S582" s="239"/>
      <c r="T582" s="239"/>
      <c r="U582" s="240"/>
      <c r="V582" s="238"/>
      <c r="W582" s="242"/>
      <c r="X582" s="239"/>
      <c r="Y582" s="239"/>
      <c r="Z582" s="239"/>
      <c r="AA582" s="239"/>
      <c r="AB582" s="239"/>
      <c r="AC582" s="239"/>
      <c r="AD582" s="239"/>
      <c r="AE582" s="239"/>
      <c r="AF582" s="239"/>
      <c r="AG582" s="239"/>
      <c r="AH582" s="239"/>
      <c r="AI582" s="239"/>
      <c r="AJ582" s="239"/>
      <c r="AK582" s="239"/>
      <c r="AL582" s="239"/>
      <c r="AM582" s="4"/>
      <c r="AN582" s="4"/>
    </row>
    <row r="583" ht="15.75" customHeight="1">
      <c r="A583" s="4"/>
      <c r="B583" s="4"/>
      <c r="C583" s="12"/>
      <c r="D583" s="4"/>
      <c r="E583" s="4"/>
      <c r="F583" s="4"/>
      <c r="G583" s="4"/>
      <c r="H583" s="4"/>
      <c r="I583" s="237"/>
      <c r="J583" s="238"/>
      <c r="K583" s="238"/>
      <c r="L583" s="239"/>
      <c r="M583" s="239"/>
      <c r="N583" s="239"/>
      <c r="O583" s="240"/>
      <c r="P583" s="238"/>
      <c r="Q583" s="241"/>
      <c r="R583" s="239"/>
      <c r="S583" s="239"/>
      <c r="T583" s="239"/>
      <c r="U583" s="240"/>
      <c r="V583" s="238"/>
      <c r="W583" s="242"/>
      <c r="X583" s="239"/>
      <c r="Y583" s="239"/>
      <c r="Z583" s="239"/>
      <c r="AA583" s="239"/>
      <c r="AB583" s="239"/>
      <c r="AC583" s="239"/>
      <c r="AD583" s="239"/>
      <c r="AE583" s="239"/>
      <c r="AF583" s="239"/>
      <c r="AG583" s="239"/>
      <c r="AH583" s="239"/>
      <c r="AI583" s="239"/>
      <c r="AJ583" s="239"/>
      <c r="AK583" s="239"/>
      <c r="AL583" s="239"/>
      <c r="AM583" s="4"/>
      <c r="AN583" s="4"/>
    </row>
    <row r="584" ht="15.75" customHeight="1">
      <c r="A584" s="4"/>
      <c r="B584" s="4"/>
      <c r="C584" s="12"/>
      <c r="D584" s="4"/>
      <c r="E584" s="4"/>
      <c r="F584" s="4"/>
      <c r="G584" s="4"/>
      <c r="H584" s="4"/>
      <c r="I584" s="237"/>
      <c r="J584" s="238"/>
      <c r="K584" s="238"/>
      <c r="L584" s="239"/>
      <c r="M584" s="239"/>
      <c r="N584" s="239"/>
      <c r="O584" s="240"/>
      <c r="P584" s="238"/>
      <c r="Q584" s="241"/>
      <c r="R584" s="239"/>
      <c r="S584" s="239"/>
      <c r="T584" s="239"/>
      <c r="U584" s="240"/>
      <c r="V584" s="238"/>
      <c r="W584" s="242"/>
      <c r="X584" s="239"/>
      <c r="Y584" s="239"/>
      <c r="Z584" s="239"/>
      <c r="AA584" s="239"/>
      <c r="AB584" s="239"/>
      <c r="AC584" s="239"/>
      <c r="AD584" s="239"/>
      <c r="AE584" s="239"/>
      <c r="AF584" s="239"/>
      <c r="AG584" s="239"/>
      <c r="AH584" s="239"/>
      <c r="AI584" s="239"/>
      <c r="AJ584" s="239"/>
      <c r="AK584" s="239"/>
      <c r="AL584" s="239"/>
      <c r="AM584" s="4"/>
      <c r="AN584" s="4"/>
    </row>
    <row r="585" ht="15.75" customHeight="1">
      <c r="A585" s="4"/>
      <c r="B585" s="4"/>
      <c r="C585" s="12"/>
      <c r="D585" s="4"/>
      <c r="E585" s="4"/>
      <c r="F585" s="4"/>
      <c r="G585" s="4"/>
      <c r="H585" s="4"/>
      <c r="I585" s="237"/>
      <c r="J585" s="238"/>
      <c r="K585" s="238"/>
      <c r="L585" s="239"/>
      <c r="M585" s="239"/>
      <c r="N585" s="239"/>
      <c r="O585" s="240"/>
      <c r="P585" s="238"/>
      <c r="Q585" s="241"/>
      <c r="R585" s="239"/>
      <c r="S585" s="239"/>
      <c r="T585" s="239"/>
      <c r="U585" s="240"/>
      <c r="V585" s="238"/>
      <c r="W585" s="242"/>
      <c r="X585" s="239"/>
      <c r="Y585" s="239"/>
      <c r="Z585" s="239"/>
      <c r="AA585" s="239"/>
      <c r="AB585" s="239"/>
      <c r="AC585" s="239"/>
      <c r="AD585" s="239"/>
      <c r="AE585" s="239"/>
      <c r="AF585" s="239"/>
      <c r="AG585" s="239"/>
      <c r="AH585" s="239"/>
      <c r="AI585" s="239"/>
      <c r="AJ585" s="239"/>
      <c r="AK585" s="239"/>
      <c r="AL585" s="239"/>
      <c r="AM585" s="4"/>
      <c r="AN585" s="4"/>
    </row>
    <row r="586" ht="15.75" customHeight="1">
      <c r="A586" s="4"/>
      <c r="B586" s="4"/>
      <c r="C586" s="12"/>
      <c r="D586" s="4"/>
      <c r="E586" s="4"/>
      <c r="F586" s="4"/>
      <c r="G586" s="4"/>
      <c r="H586" s="4"/>
      <c r="I586" s="237"/>
      <c r="J586" s="238"/>
      <c r="K586" s="238"/>
      <c r="L586" s="239"/>
      <c r="M586" s="239"/>
      <c r="N586" s="239"/>
      <c r="O586" s="240"/>
      <c r="P586" s="238"/>
      <c r="Q586" s="241"/>
      <c r="R586" s="239"/>
      <c r="S586" s="239"/>
      <c r="T586" s="239"/>
      <c r="U586" s="240"/>
      <c r="V586" s="238"/>
      <c r="W586" s="242"/>
      <c r="X586" s="239"/>
      <c r="Y586" s="239"/>
      <c r="Z586" s="239"/>
      <c r="AA586" s="239"/>
      <c r="AB586" s="239"/>
      <c r="AC586" s="239"/>
      <c r="AD586" s="239"/>
      <c r="AE586" s="239"/>
      <c r="AF586" s="239"/>
      <c r="AG586" s="239"/>
      <c r="AH586" s="239"/>
      <c r="AI586" s="239"/>
      <c r="AJ586" s="239"/>
      <c r="AK586" s="239"/>
      <c r="AL586" s="239"/>
      <c r="AM586" s="4"/>
      <c r="AN586" s="4"/>
    </row>
    <row r="587" ht="15.75" customHeight="1">
      <c r="A587" s="4"/>
      <c r="B587" s="4"/>
      <c r="C587" s="12"/>
      <c r="D587" s="4"/>
      <c r="E587" s="4"/>
      <c r="F587" s="4"/>
      <c r="G587" s="4"/>
      <c r="H587" s="4"/>
      <c r="I587" s="237"/>
      <c r="J587" s="238"/>
      <c r="K587" s="238"/>
      <c r="L587" s="239"/>
      <c r="M587" s="239"/>
      <c r="N587" s="239"/>
      <c r="O587" s="240"/>
      <c r="P587" s="238"/>
      <c r="Q587" s="241"/>
      <c r="R587" s="239"/>
      <c r="S587" s="239"/>
      <c r="T587" s="239"/>
      <c r="U587" s="240"/>
      <c r="V587" s="238"/>
      <c r="W587" s="242"/>
      <c r="X587" s="239"/>
      <c r="Y587" s="239"/>
      <c r="Z587" s="239"/>
      <c r="AA587" s="239"/>
      <c r="AB587" s="239"/>
      <c r="AC587" s="239"/>
      <c r="AD587" s="239"/>
      <c r="AE587" s="239"/>
      <c r="AF587" s="239"/>
      <c r="AG587" s="239"/>
      <c r="AH587" s="239"/>
      <c r="AI587" s="239"/>
      <c r="AJ587" s="239"/>
      <c r="AK587" s="239"/>
      <c r="AL587" s="239"/>
      <c r="AM587" s="4"/>
      <c r="AN587" s="4"/>
    </row>
    <row r="588" ht="15.75" customHeight="1">
      <c r="A588" s="4"/>
      <c r="B588" s="4"/>
      <c r="C588" s="12"/>
      <c r="D588" s="4"/>
      <c r="E588" s="4"/>
      <c r="F588" s="4"/>
      <c r="G588" s="4"/>
      <c r="H588" s="4"/>
      <c r="I588" s="237"/>
      <c r="J588" s="238"/>
      <c r="K588" s="238"/>
      <c r="L588" s="239"/>
      <c r="M588" s="239"/>
      <c r="N588" s="239"/>
      <c r="O588" s="240"/>
      <c r="P588" s="238"/>
      <c r="Q588" s="241"/>
      <c r="R588" s="239"/>
      <c r="S588" s="239"/>
      <c r="T588" s="239"/>
      <c r="U588" s="240"/>
      <c r="V588" s="238"/>
      <c r="W588" s="242"/>
      <c r="X588" s="239"/>
      <c r="Y588" s="239"/>
      <c r="Z588" s="239"/>
      <c r="AA588" s="239"/>
      <c r="AB588" s="239"/>
      <c r="AC588" s="239"/>
      <c r="AD588" s="239"/>
      <c r="AE588" s="239"/>
      <c r="AF588" s="239"/>
      <c r="AG588" s="239"/>
      <c r="AH588" s="239"/>
      <c r="AI588" s="239"/>
      <c r="AJ588" s="239"/>
      <c r="AK588" s="239"/>
      <c r="AL588" s="239"/>
      <c r="AM588" s="4"/>
      <c r="AN588" s="4"/>
    </row>
    <row r="589" ht="15.75" customHeight="1">
      <c r="A589" s="4"/>
      <c r="B589" s="4"/>
      <c r="C589" s="12"/>
      <c r="D589" s="4"/>
      <c r="E589" s="4"/>
      <c r="F589" s="4"/>
      <c r="G589" s="4"/>
      <c r="H589" s="4"/>
      <c r="I589" s="237"/>
      <c r="J589" s="238"/>
      <c r="K589" s="238"/>
      <c r="L589" s="239"/>
      <c r="M589" s="239"/>
      <c r="N589" s="239"/>
      <c r="O589" s="240"/>
      <c r="P589" s="238"/>
      <c r="Q589" s="241"/>
      <c r="R589" s="239"/>
      <c r="S589" s="239"/>
      <c r="T589" s="239"/>
      <c r="U589" s="240"/>
      <c r="V589" s="238"/>
      <c r="W589" s="242"/>
      <c r="X589" s="239"/>
      <c r="Y589" s="239"/>
      <c r="Z589" s="239"/>
      <c r="AA589" s="239"/>
      <c r="AB589" s="239"/>
      <c r="AC589" s="239"/>
      <c r="AD589" s="239"/>
      <c r="AE589" s="239"/>
      <c r="AF589" s="239"/>
      <c r="AG589" s="239"/>
      <c r="AH589" s="239"/>
      <c r="AI589" s="239"/>
      <c r="AJ589" s="239"/>
      <c r="AK589" s="239"/>
      <c r="AL589" s="239"/>
      <c r="AM589" s="4"/>
      <c r="AN589" s="4"/>
    </row>
    <row r="590" ht="15.75" customHeight="1">
      <c r="A590" s="4"/>
      <c r="B590" s="4"/>
      <c r="C590" s="12"/>
      <c r="D590" s="4"/>
      <c r="E590" s="4"/>
      <c r="F590" s="4"/>
      <c r="G590" s="4"/>
      <c r="H590" s="4"/>
      <c r="I590" s="237"/>
      <c r="J590" s="238"/>
      <c r="K590" s="238"/>
      <c r="L590" s="239"/>
      <c r="M590" s="239"/>
      <c r="N590" s="239"/>
      <c r="O590" s="240"/>
      <c r="P590" s="238"/>
      <c r="Q590" s="241"/>
      <c r="R590" s="239"/>
      <c r="S590" s="239"/>
      <c r="T590" s="239"/>
      <c r="U590" s="240"/>
      <c r="V590" s="238"/>
      <c r="W590" s="242"/>
      <c r="X590" s="239"/>
      <c r="Y590" s="239"/>
      <c r="Z590" s="239"/>
      <c r="AA590" s="239"/>
      <c r="AB590" s="239"/>
      <c r="AC590" s="239"/>
      <c r="AD590" s="239"/>
      <c r="AE590" s="239"/>
      <c r="AF590" s="239"/>
      <c r="AG590" s="239"/>
      <c r="AH590" s="239"/>
      <c r="AI590" s="239"/>
      <c r="AJ590" s="239"/>
      <c r="AK590" s="239"/>
      <c r="AL590" s="239"/>
      <c r="AM590" s="4"/>
      <c r="AN590" s="4"/>
    </row>
    <row r="591" ht="15.75" customHeight="1">
      <c r="A591" s="4"/>
      <c r="B591" s="4"/>
      <c r="C591" s="12"/>
      <c r="D591" s="4"/>
      <c r="E591" s="4"/>
      <c r="F591" s="4"/>
      <c r="G591" s="4"/>
      <c r="H591" s="4"/>
      <c r="I591" s="237"/>
      <c r="J591" s="238"/>
      <c r="K591" s="238"/>
      <c r="L591" s="239"/>
      <c r="M591" s="239"/>
      <c r="N591" s="239"/>
      <c r="O591" s="240"/>
      <c r="P591" s="238"/>
      <c r="Q591" s="241"/>
      <c r="R591" s="239"/>
      <c r="S591" s="239"/>
      <c r="T591" s="239"/>
      <c r="U591" s="240"/>
      <c r="V591" s="238"/>
      <c r="W591" s="242"/>
      <c r="X591" s="239"/>
      <c r="Y591" s="239"/>
      <c r="Z591" s="239"/>
      <c r="AA591" s="239"/>
      <c r="AB591" s="239"/>
      <c r="AC591" s="239"/>
      <c r="AD591" s="239"/>
      <c r="AE591" s="239"/>
      <c r="AF591" s="239"/>
      <c r="AG591" s="239"/>
      <c r="AH591" s="239"/>
      <c r="AI591" s="239"/>
      <c r="AJ591" s="239"/>
      <c r="AK591" s="239"/>
      <c r="AL591" s="239"/>
      <c r="AM591" s="4"/>
      <c r="AN591" s="4"/>
    </row>
    <row r="592" ht="15.75" customHeight="1">
      <c r="A592" s="4"/>
      <c r="B592" s="4"/>
      <c r="C592" s="12"/>
      <c r="D592" s="4"/>
      <c r="E592" s="4"/>
      <c r="F592" s="4"/>
      <c r="G592" s="4"/>
      <c r="H592" s="4"/>
      <c r="I592" s="237"/>
      <c r="J592" s="238"/>
      <c r="K592" s="238"/>
      <c r="L592" s="239"/>
      <c r="M592" s="239"/>
      <c r="N592" s="239"/>
      <c r="O592" s="240"/>
      <c r="P592" s="238"/>
      <c r="Q592" s="241"/>
      <c r="R592" s="239"/>
      <c r="S592" s="239"/>
      <c r="T592" s="239"/>
      <c r="U592" s="240"/>
      <c r="V592" s="238"/>
      <c r="W592" s="242"/>
      <c r="X592" s="239"/>
      <c r="Y592" s="239"/>
      <c r="Z592" s="239"/>
      <c r="AA592" s="239"/>
      <c r="AB592" s="239"/>
      <c r="AC592" s="239"/>
      <c r="AD592" s="239"/>
      <c r="AE592" s="239"/>
      <c r="AF592" s="239"/>
      <c r="AG592" s="239"/>
      <c r="AH592" s="239"/>
      <c r="AI592" s="239"/>
      <c r="AJ592" s="239"/>
      <c r="AK592" s="239"/>
      <c r="AL592" s="239"/>
      <c r="AM592" s="4"/>
      <c r="AN592" s="4"/>
    </row>
    <row r="593" ht="15.75" customHeight="1">
      <c r="A593" s="4"/>
      <c r="B593" s="4"/>
      <c r="C593" s="12"/>
      <c r="D593" s="4"/>
      <c r="E593" s="4"/>
      <c r="F593" s="4"/>
      <c r="G593" s="4"/>
      <c r="H593" s="4"/>
      <c r="I593" s="237"/>
      <c r="J593" s="238"/>
      <c r="K593" s="238"/>
      <c r="L593" s="239"/>
      <c r="M593" s="239"/>
      <c r="N593" s="239"/>
      <c r="O593" s="240"/>
      <c r="P593" s="238"/>
      <c r="Q593" s="241"/>
      <c r="R593" s="239"/>
      <c r="S593" s="239"/>
      <c r="T593" s="239"/>
      <c r="U593" s="240"/>
      <c r="V593" s="238"/>
      <c r="W593" s="242"/>
      <c r="X593" s="239"/>
      <c r="Y593" s="239"/>
      <c r="Z593" s="239"/>
      <c r="AA593" s="239"/>
      <c r="AB593" s="239"/>
      <c r="AC593" s="239"/>
      <c r="AD593" s="239"/>
      <c r="AE593" s="239"/>
      <c r="AF593" s="239"/>
      <c r="AG593" s="239"/>
      <c r="AH593" s="239"/>
      <c r="AI593" s="239"/>
      <c r="AJ593" s="239"/>
      <c r="AK593" s="239"/>
      <c r="AL593" s="239"/>
      <c r="AM593" s="4"/>
      <c r="AN593" s="4"/>
    </row>
    <row r="594" ht="15.75" customHeight="1">
      <c r="A594" s="4"/>
      <c r="B594" s="4"/>
      <c r="C594" s="12"/>
      <c r="D594" s="4"/>
      <c r="E594" s="4"/>
      <c r="F594" s="4"/>
      <c r="G594" s="4"/>
      <c r="H594" s="4"/>
      <c r="I594" s="237"/>
      <c r="J594" s="238"/>
      <c r="K594" s="238"/>
      <c r="L594" s="239"/>
      <c r="M594" s="239"/>
      <c r="N594" s="239"/>
      <c r="O594" s="240"/>
      <c r="P594" s="238"/>
      <c r="Q594" s="241"/>
      <c r="R594" s="239"/>
      <c r="S594" s="239"/>
      <c r="T594" s="239"/>
      <c r="U594" s="240"/>
      <c r="V594" s="238"/>
      <c r="W594" s="242"/>
      <c r="X594" s="239"/>
      <c r="Y594" s="239"/>
      <c r="Z594" s="239"/>
      <c r="AA594" s="239"/>
      <c r="AB594" s="239"/>
      <c r="AC594" s="239"/>
      <c r="AD594" s="239"/>
      <c r="AE594" s="239"/>
      <c r="AF594" s="239"/>
      <c r="AG594" s="239"/>
      <c r="AH594" s="239"/>
      <c r="AI594" s="239"/>
      <c r="AJ594" s="239"/>
      <c r="AK594" s="239"/>
      <c r="AL594" s="239"/>
      <c r="AM594" s="4"/>
      <c r="AN594" s="4"/>
    </row>
    <row r="595" ht="15.75" customHeight="1">
      <c r="A595" s="4"/>
      <c r="B595" s="4"/>
      <c r="C595" s="12"/>
      <c r="D595" s="4"/>
      <c r="E595" s="4"/>
      <c r="F595" s="4"/>
      <c r="G595" s="4"/>
      <c r="H595" s="4"/>
      <c r="I595" s="237"/>
      <c r="J595" s="238"/>
      <c r="K595" s="238"/>
      <c r="L595" s="239"/>
      <c r="M595" s="239"/>
      <c r="N595" s="239"/>
      <c r="O595" s="240"/>
      <c r="P595" s="238"/>
      <c r="Q595" s="241"/>
      <c r="R595" s="239"/>
      <c r="S595" s="239"/>
      <c r="T595" s="239"/>
      <c r="U595" s="240"/>
      <c r="V595" s="238"/>
      <c r="W595" s="242"/>
      <c r="X595" s="239"/>
      <c r="Y595" s="239"/>
      <c r="Z595" s="239"/>
      <c r="AA595" s="239"/>
      <c r="AB595" s="239"/>
      <c r="AC595" s="239"/>
      <c r="AD595" s="239"/>
      <c r="AE595" s="239"/>
      <c r="AF595" s="239"/>
      <c r="AG595" s="239"/>
      <c r="AH595" s="239"/>
      <c r="AI595" s="239"/>
      <c r="AJ595" s="239"/>
      <c r="AK595" s="239"/>
      <c r="AL595" s="239"/>
      <c r="AM595" s="4"/>
      <c r="AN595" s="4"/>
    </row>
    <row r="596" ht="15.75" customHeight="1">
      <c r="A596" s="4"/>
      <c r="B596" s="4"/>
      <c r="C596" s="12"/>
      <c r="D596" s="4"/>
      <c r="E596" s="4"/>
      <c r="F596" s="4"/>
      <c r="G596" s="4"/>
      <c r="H596" s="4"/>
      <c r="I596" s="237"/>
      <c r="J596" s="238"/>
      <c r="K596" s="238"/>
      <c r="L596" s="239"/>
      <c r="M596" s="239"/>
      <c r="N596" s="239"/>
      <c r="O596" s="240"/>
      <c r="P596" s="238"/>
      <c r="Q596" s="241"/>
      <c r="R596" s="239"/>
      <c r="S596" s="239"/>
      <c r="T596" s="239"/>
      <c r="U596" s="240"/>
      <c r="V596" s="238"/>
      <c r="W596" s="242"/>
      <c r="X596" s="239"/>
      <c r="Y596" s="239"/>
      <c r="Z596" s="239"/>
      <c r="AA596" s="239"/>
      <c r="AB596" s="239"/>
      <c r="AC596" s="239"/>
      <c r="AD596" s="239"/>
      <c r="AE596" s="239"/>
      <c r="AF596" s="239"/>
      <c r="AG596" s="239"/>
      <c r="AH596" s="239"/>
      <c r="AI596" s="239"/>
      <c r="AJ596" s="239"/>
      <c r="AK596" s="239"/>
      <c r="AL596" s="239"/>
      <c r="AM596" s="4"/>
      <c r="AN596" s="4"/>
    </row>
    <row r="597" ht="15.75" customHeight="1">
      <c r="A597" s="4"/>
      <c r="B597" s="4"/>
      <c r="C597" s="12"/>
      <c r="D597" s="4"/>
      <c r="E597" s="4"/>
      <c r="F597" s="4"/>
      <c r="G597" s="4"/>
      <c r="H597" s="4"/>
      <c r="I597" s="237"/>
      <c r="J597" s="238"/>
      <c r="K597" s="238"/>
      <c r="L597" s="239"/>
      <c r="M597" s="239"/>
      <c r="N597" s="239"/>
      <c r="O597" s="240"/>
      <c r="P597" s="238"/>
      <c r="Q597" s="241"/>
      <c r="R597" s="239"/>
      <c r="S597" s="239"/>
      <c r="T597" s="239"/>
      <c r="U597" s="240"/>
      <c r="V597" s="238"/>
      <c r="W597" s="242"/>
      <c r="X597" s="239"/>
      <c r="Y597" s="239"/>
      <c r="Z597" s="239"/>
      <c r="AA597" s="239"/>
      <c r="AB597" s="239"/>
      <c r="AC597" s="239"/>
      <c r="AD597" s="239"/>
      <c r="AE597" s="239"/>
      <c r="AF597" s="239"/>
      <c r="AG597" s="239"/>
      <c r="AH597" s="239"/>
      <c r="AI597" s="239"/>
      <c r="AJ597" s="239"/>
      <c r="AK597" s="239"/>
      <c r="AL597" s="239"/>
      <c r="AM597" s="4"/>
      <c r="AN597" s="4"/>
    </row>
    <row r="598" ht="15.75" customHeight="1">
      <c r="A598" s="4"/>
      <c r="B598" s="4"/>
      <c r="C598" s="12"/>
      <c r="D598" s="4"/>
      <c r="E598" s="4"/>
      <c r="F598" s="4"/>
      <c r="G598" s="4"/>
      <c r="H598" s="4"/>
      <c r="I598" s="237"/>
      <c r="J598" s="238"/>
      <c r="K598" s="238"/>
      <c r="L598" s="239"/>
      <c r="M598" s="239"/>
      <c r="N598" s="239"/>
      <c r="O598" s="240"/>
      <c r="P598" s="238"/>
      <c r="Q598" s="241"/>
      <c r="R598" s="239"/>
      <c r="S598" s="239"/>
      <c r="T598" s="239"/>
      <c r="U598" s="240"/>
      <c r="V598" s="238"/>
      <c r="W598" s="242"/>
      <c r="X598" s="239"/>
      <c r="Y598" s="239"/>
      <c r="Z598" s="239"/>
      <c r="AA598" s="239"/>
      <c r="AB598" s="239"/>
      <c r="AC598" s="239"/>
      <c r="AD598" s="239"/>
      <c r="AE598" s="239"/>
      <c r="AF598" s="239"/>
      <c r="AG598" s="239"/>
      <c r="AH598" s="239"/>
      <c r="AI598" s="239"/>
      <c r="AJ598" s="239"/>
      <c r="AK598" s="239"/>
      <c r="AL598" s="239"/>
      <c r="AM598" s="4"/>
      <c r="AN598" s="4"/>
    </row>
    <row r="599" ht="15.75" customHeight="1">
      <c r="A599" s="4"/>
      <c r="B599" s="4"/>
      <c r="C599" s="12"/>
      <c r="D599" s="4"/>
      <c r="E599" s="4"/>
      <c r="F599" s="4"/>
      <c r="G599" s="4"/>
      <c r="H599" s="4"/>
      <c r="I599" s="237"/>
      <c r="J599" s="238"/>
      <c r="K599" s="238"/>
      <c r="L599" s="239"/>
      <c r="M599" s="239"/>
      <c r="N599" s="239"/>
      <c r="O599" s="240"/>
      <c r="P599" s="238"/>
      <c r="Q599" s="241"/>
      <c r="R599" s="239"/>
      <c r="S599" s="239"/>
      <c r="T599" s="239"/>
      <c r="U599" s="240"/>
      <c r="V599" s="238"/>
      <c r="W599" s="242"/>
      <c r="X599" s="239"/>
      <c r="Y599" s="239"/>
      <c r="Z599" s="239"/>
      <c r="AA599" s="239"/>
      <c r="AB599" s="239"/>
      <c r="AC599" s="239"/>
      <c r="AD599" s="239"/>
      <c r="AE599" s="239"/>
      <c r="AF599" s="239"/>
      <c r="AG599" s="239"/>
      <c r="AH599" s="239"/>
      <c r="AI599" s="239"/>
      <c r="AJ599" s="239"/>
      <c r="AK599" s="239"/>
      <c r="AL599" s="239"/>
      <c r="AM599" s="4"/>
      <c r="AN599" s="4"/>
    </row>
    <row r="600" ht="15.75" customHeight="1">
      <c r="A600" s="4"/>
      <c r="B600" s="4"/>
      <c r="C600" s="12"/>
      <c r="D600" s="4"/>
      <c r="E600" s="4"/>
      <c r="F600" s="4"/>
      <c r="G600" s="4"/>
      <c r="H600" s="4"/>
      <c r="I600" s="237"/>
      <c r="J600" s="238"/>
      <c r="K600" s="238"/>
      <c r="L600" s="239"/>
      <c r="M600" s="239"/>
      <c r="N600" s="239"/>
      <c r="O600" s="240"/>
      <c r="P600" s="238"/>
      <c r="Q600" s="241"/>
      <c r="R600" s="239"/>
      <c r="S600" s="239"/>
      <c r="T600" s="239"/>
      <c r="U600" s="240"/>
      <c r="V600" s="238"/>
      <c r="W600" s="242"/>
      <c r="X600" s="239"/>
      <c r="Y600" s="239"/>
      <c r="Z600" s="239"/>
      <c r="AA600" s="239"/>
      <c r="AB600" s="239"/>
      <c r="AC600" s="239"/>
      <c r="AD600" s="239"/>
      <c r="AE600" s="239"/>
      <c r="AF600" s="239"/>
      <c r="AG600" s="239"/>
      <c r="AH600" s="239"/>
      <c r="AI600" s="239"/>
      <c r="AJ600" s="239"/>
      <c r="AK600" s="239"/>
      <c r="AL600" s="239"/>
      <c r="AM600" s="4"/>
      <c r="AN600" s="4"/>
    </row>
    <row r="601" ht="15.75" customHeight="1">
      <c r="A601" s="4"/>
      <c r="B601" s="4"/>
      <c r="C601" s="12"/>
      <c r="D601" s="4"/>
      <c r="E601" s="4"/>
      <c r="F601" s="4"/>
      <c r="G601" s="4"/>
      <c r="H601" s="4"/>
      <c r="I601" s="237"/>
      <c r="J601" s="238"/>
      <c r="K601" s="238"/>
      <c r="L601" s="239"/>
      <c r="M601" s="239"/>
      <c r="N601" s="239"/>
      <c r="O601" s="240"/>
      <c r="P601" s="238"/>
      <c r="Q601" s="241"/>
      <c r="R601" s="239"/>
      <c r="S601" s="239"/>
      <c r="T601" s="239"/>
      <c r="U601" s="240"/>
      <c r="V601" s="238"/>
      <c r="W601" s="242"/>
      <c r="X601" s="239"/>
      <c r="Y601" s="239"/>
      <c r="Z601" s="239"/>
      <c r="AA601" s="239"/>
      <c r="AB601" s="239"/>
      <c r="AC601" s="239"/>
      <c r="AD601" s="239"/>
      <c r="AE601" s="239"/>
      <c r="AF601" s="239"/>
      <c r="AG601" s="239"/>
      <c r="AH601" s="239"/>
      <c r="AI601" s="239"/>
      <c r="AJ601" s="239"/>
      <c r="AK601" s="239"/>
      <c r="AL601" s="239"/>
      <c r="AM601" s="4"/>
      <c r="AN601" s="4"/>
    </row>
    <row r="602" ht="15.75" customHeight="1">
      <c r="A602" s="4"/>
      <c r="B602" s="4"/>
      <c r="C602" s="12"/>
      <c r="D602" s="4"/>
      <c r="E602" s="4"/>
      <c r="F602" s="4"/>
      <c r="G602" s="4"/>
      <c r="H602" s="4"/>
      <c r="I602" s="237"/>
      <c r="J602" s="238"/>
      <c r="K602" s="238"/>
      <c r="L602" s="239"/>
      <c r="M602" s="239"/>
      <c r="N602" s="239"/>
      <c r="O602" s="240"/>
      <c r="P602" s="238"/>
      <c r="Q602" s="241"/>
      <c r="R602" s="239"/>
      <c r="S602" s="239"/>
      <c r="T602" s="239"/>
      <c r="U602" s="240"/>
      <c r="V602" s="238"/>
      <c r="W602" s="242"/>
      <c r="X602" s="239"/>
      <c r="Y602" s="239"/>
      <c r="Z602" s="239"/>
      <c r="AA602" s="239"/>
      <c r="AB602" s="239"/>
      <c r="AC602" s="239"/>
      <c r="AD602" s="239"/>
      <c r="AE602" s="239"/>
      <c r="AF602" s="239"/>
      <c r="AG602" s="239"/>
      <c r="AH602" s="239"/>
      <c r="AI602" s="239"/>
      <c r="AJ602" s="239"/>
      <c r="AK602" s="239"/>
      <c r="AL602" s="239"/>
      <c r="AM602" s="4"/>
      <c r="AN602" s="4"/>
    </row>
    <row r="603" ht="15.75" customHeight="1">
      <c r="A603" s="4"/>
      <c r="B603" s="4"/>
      <c r="C603" s="12"/>
      <c r="D603" s="4"/>
      <c r="E603" s="4"/>
      <c r="F603" s="4"/>
      <c r="G603" s="4"/>
      <c r="H603" s="4"/>
      <c r="I603" s="237"/>
      <c r="J603" s="238"/>
      <c r="K603" s="238"/>
      <c r="L603" s="239"/>
      <c r="M603" s="239"/>
      <c r="N603" s="239"/>
      <c r="O603" s="240"/>
      <c r="P603" s="238"/>
      <c r="Q603" s="241"/>
      <c r="R603" s="239"/>
      <c r="S603" s="239"/>
      <c r="T603" s="239"/>
      <c r="U603" s="240"/>
      <c r="V603" s="238"/>
      <c r="W603" s="242"/>
      <c r="X603" s="239"/>
      <c r="Y603" s="239"/>
      <c r="Z603" s="239"/>
      <c r="AA603" s="239"/>
      <c r="AB603" s="239"/>
      <c r="AC603" s="239"/>
      <c r="AD603" s="239"/>
      <c r="AE603" s="239"/>
      <c r="AF603" s="239"/>
      <c r="AG603" s="239"/>
      <c r="AH603" s="239"/>
      <c r="AI603" s="239"/>
      <c r="AJ603" s="239"/>
      <c r="AK603" s="239"/>
      <c r="AL603" s="239"/>
      <c r="AM603" s="4"/>
      <c r="AN603" s="4"/>
    </row>
    <row r="604" ht="15.75" customHeight="1">
      <c r="A604" s="4"/>
      <c r="B604" s="4"/>
      <c r="C604" s="12"/>
      <c r="D604" s="4"/>
      <c r="E604" s="4"/>
      <c r="F604" s="4"/>
      <c r="G604" s="4"/>
      <c r="H604" s="4"/>
      <c r="I604" s="237"/>
      <c r="J604" s="238"/>
      <c r="K604" s="238"/>
      <c r="L604" s="239"/>
      <c r="M604" s="239"/>
      <c r="N604" s="239"/>
      <c r="O604" s="240"/>
      <c r="P604" s="238"/>
      <c r="Q604" s="241"/>
      <c r="R604" s="239"/>
      <c r="S604" s="239"/>
      <c r="T604" s="239"/>
      <c r="U604" s="240"/>
      <c r="V604" s="238"/>
      <c r="W604" s="242"/>
      <c r="X604" s="239"/>
      <c r="Y604" s="239"/>
      <c r="Z604" s="239"/>
      <c r="AA604" s="239"/>
      <c r="AB604" s="239"/>
      <c r="AC604" s="239"/>
      <c r="AD604" s="239"/>
      <c r="AE604" s="239"/>
      <c r="AF604" s="239"/>
      <c r="AG604" s="239"/>
      <c r="AH604" s="239"/>
      <c r="AI604" s="239"/>
      <c r="AJ604" s="239"/>
      <c r="AK604" s="239"/>
      <c r="AL604" s="239"/>
      <c r="AM604" s="4"/>
      <c r="AN604" s="4"/>
    </row>
    <row r="605" ht="15.75" customHeight="1">
      <c r="A605" s="4"/>
      <c r="B605" s="4"/>
      <c r="C605" s="12"/>
      <c r="D605" s="4"/>
      <c r="E605" s="4"/>
      <c r="F605" s="4"/>
      <c r="G605" s="4"/>
      <c r="H605" s="4"/>
      <c r="I605" s="237"/>
      <c r="J605" s="238"/>
      <c r="K605" s="238"/>
      <c r="L605" s="239"/>
      <c r="M605" s="239"/>
      <c r="N605" s="239"/>
      <c r="O605" s="240"/>
      <c r="P605" s="238"/>
      <c r="Q605" s="241"/>
      <c r="R605" s="239"/>
      <c r="S605" s="239"/>
      <c r="T605" s="239"/>
      <c r="U605" s="240"/>
      <c r="V605" s="238"/>
      <c r="W605" s="242"/>
      <c r="X605" s="239"/>
      <c r="Y605" s="239"/>
      <c r="Z605" s="239"/>
      <c r="AA605" s="239"/>
      <c r="AB605" s="239"/>
      <c r="AC605" s="239"/>
      <c r="AD605" s="239"/>
      <c r="AE605" s="239"/>
      <c r="AF605" s="239"/>
      <c r="AG605" s="239"/>
      <c r="AH605" s="239"/>
      <c r="AI605" s="239"/>
      <c r="AJ605" s="239"/>
      <c r="AK605" s="239"/>
      <c r="AL605" s="239"/>
      <c r="AM605" s="4"/>
      <c r="AN605" s="4"/>
    </row>
    <row r="606" ht="15.75" customHeight="1">
      <c r="A606" s="4"/>
      <c r="B606" s="4"/>
      <c r="C606" s="12"/>
      <c r="D606" s="4"/>
      <c r="E606" s="4"/>
      <c r="F606" s="4"/>
      <c r="G606" s="4"/>
      <c r="H606" s="4"/>
      <c r="I606" s="237"/>
      <c r="J606" s="238"/>
      <c r="K606" s="238"/>
      <c r="L606" s="239"/>
      <c r="M606" s="239"/>
      <c r="N606" s="239"/>
      <c r="O606" s="240"/>
      <c r="P606" s="238"/>
      <c r="Q606" s="241"/>
      <c r="R606" s="239"/>
      <c r="S606" s="239"/>
      <c r="T606" s="239"/>
      <c r="U606" s="240"/>
      <c r="V606" s="238"/>
      <c r="W606" s="242"/>
      <c r="X606" s="239"/>
      <c r="Y606" s="239"/>
      <c r="Z606" s="239"/>
      <c r="AA606" s="239"/>
      <c r="AB606" s="239"/>
      <c r="AC606" s="239"/>
      <c r="AD606" s="239"/>
      <c r="AE606" s="239"/>
      <c r="AF606" s="239"/>
      <c r="AG606" s="239"/>
      <c r="AH606" s="239"/>
      <c r="AI606" s="239"/>
      <c r="AJ606" s="239"/>
      <c r="AK606" s="239"/>
      <c r="AL606" s="239"/>
      <c r="AM606" s="4"/>
      <c r="AN606" s="4"/>
    </row>
    <row r="607" ht="15.75" customHeight="1">
      <c r="A607" s="4"/>
      <c r="B607" s="4"/>
      <c r="C607" s="12"/>
      <c r="D607" s="4"/>
      <c r="E607" s="4"/>
      <c r="F607" s="4"/>
      <c r="G607" s="4"/>
      <c r="H607" s="4"/>
      <c r="I607" s="237"/>
      <c r="J607" s="238"/>
      <c r="K607" s="238"/>
      <c r="L607" s="239"/>
      <c r="M607" s="239"/>
      <c r="N607" s="239"/>
      <c r="O607" s="240"/>
      <c r="P607" s="238"/>
      <c r="Q607" s="241"/>
      <c r="R607" s="239"/>
      <c r="S607" s="239"/>
      <c r="T607" s="239"/>
      <c r="U607" s="240"/>
      <c r="V607" s="238"/>
      <c r="W607" s="242"/>
      <c r="X607" s="239"/>
      <c r="Y607" s="239"/>
      <c r="Z607" s="239"/>
      <c r="AA607" s="239"/>
      <c r="AB607" s="239"/>
      <c r="AC607" s="239"/>
      <c r="AD607" s="239"/>
      <c r="AE607" s="239"/>
      <c r="AF607" s="239"/>
      <c r="AG607" s="239"/>
      <c r="AH607" s="239"/>
      <c r="AI607" s="239"/>
      <c r="AJ607" s="239"/>
      <c r="AK607" s="239"/>
      <c r="AL607" s="239"/>
      <c r="AM607" s="4"/>
      <c r="AN607" s="4"/>
    </row>
    <row r="608" ht="15.75" customHeight="1">
      <c r="A608" s="4"/>
      <c r="B608" s="4"/>
      <c r="C608" s="12"/>
      <c r="D608" s="4"/>
      <c r="E608" s="4"/>
      <c r="F608" s="4"/>
      <c r="G608" s="4"/>
      <c r="H608" s="4"/>
      <c r="I608" s="237"/>
      <c r="J608" s="238"/>
      <c r="K608" s="238"/>
      <c r="L608" s="239"/>
      <c r="M608" s="239"/>
      <c r="N608" s="239"/>
      <c r="O608" s="240"/>
      <c r="P608" s="238"/>
      <c r="Q608" s="241"/>
      <c r="R608" s="239"/>
      <c r="S608" s="239"/>
      <c r="T608" s="239"/>
      <c r="U608" s="240"/>
      <c r="V608" s="238"/>
      <c r="W608" s="242"/>
      <c r="X608" s="239"/>
      <c r="Y608" s="239"/>
      <c r="Z608" s="239"/>
      <c r="AA608" s="239"/>
      <c r="AB608" s="239"/>
      <c r="AC608" s="239"/>
      <c r="AD608" s="239"/>
      <c r="AE608" s="239"/>
      <c r="AF608" s="239"/>
      <c r="AG608" s="239"/>
      <c r="AH608" s="239"/>
      <c r="AI608" s="239"/>
      <c r="AJ608" s="239"/>
      <c r="AK608" s="239"/>
      <c r="AL608" s="239"/>
      <c r="AM608" s="4"/>
      <c r="AN608" s="4"/>
    </row>
    <row r="609" ht="15.75" customHeight="1">
      <c r="A609" s="4"/>
      <c r="B609" s="4"/>
      <c r="C609" s="12"/>
      <c r="D609" s="4"/>
      <c r="E609" s="4"/>
      <c r="F609" s="4"/>
      <c r="G609" s="4"/>
      <c r="H609" s="4"/>
      <c r="I609" s="237"/>
      <c r="J609" s="238"/>
      <c r="K609" s="238"/>
      <c r="L609" s="239"/>
      <c r="M609" s="239"/>
      <c r="N609" s="239"/>
      <c r="O609" s="240"/>
      <c r="P609" s="238"/>
      <c r="Q609" s="241"/>
      <c r="R609" s="239"/>
      <c r="S609" s="239"/>
      <c r="T609" s="239"/>
      <c r="U609" s="240"/>
      <c r="V609" s="238"/>
      <c r="W609" s="242"/>
      <c r="X609" s="239"/>
      <c r="Y609" s="239"/>
      <c r="Z609" s="239"/>
      <c r="AA609" s="239"/>
      <c r="AB609" s="239"/>
      <c r="AC609" s="239"/>
      <c r="AD609" s="239"/>
      <c r="AE609" s="239"/>
      <c r="AF609" s="239"/>
      <c r="AG609" s="239"/>
      <c r="AH609" s="239"/>
      <c r="AI609" s="239"/>
      <c r="AJ609" s="239"/>
      <c r="AK609" s="239"/>
      <c r="AL609" s="239"/>
      <c r="AM609" s="4"/>
      <c r="AN609" s="4"/>
    </row>
    <row r="610" ht="15.75" customHeight="1">
      <c r="A610" s="4"/>
      <c r="B610" s="4"/>
      <c r="C610" s="12"/>
      <c r="D610" s="4"/>
      <c r="E610" s="4"/>
      <c r="F610" s="4"/>
      <c r="G610" s="4"/>
      <c r="H610" s="4"/>
      <c r="I610" s="237"/>
      <c r="J610" s="238"/>
      <c r="K610" s="238"/>
      <c r="L610" s="239"/>
      <c r="M610" s="239"/>
      <c r="N610" s="239"/>
      <c r="O610" s="240"/>
      <c r="P610" s="238"/>
      <c r="Q610" s="241"/>
      <c r="R610" s="239"/>
      <c r="S610" s="239"/>
      <c r="T610" s="239"/>
      <c r="U610" s="240"/>
      <c r="V610" s="238"/>
      <c r="W610" s="242"/>
      <c r="X610" s="239"/>
      <c r="Y610" s="239"/>
      <c r="Z610" s="239"/>
      <c r="AA610" s="239"/>
      <c r="AB610" s="239"/>
      <c r="AC610" s="239"/>
      <c r="AD610" s="239"/>
      <c r="AE610" s="239"/>
      <c r="AF610" s="239"/>
      <c r="AG610" s="239"/>
      <c r="AH610" s="239"/>
      <c r="AI610" s="239"/>
      <c r="AJ610" s="239"/>
      <c r="AK610" s="239"/>
      <c r="AL610" s="239"/>
      <c r="AM610" s="4"/>
      <c r="AN610" s="4"/>
    </row>
    <row r="611" ht="15.75" customHeight="1">
      <c r="A611" s="4"/>
      <c r="B611" s="4"/>
      <c r="C611" s="12"/>
      <c r="D611" s="4"/>
      <c r="E611" s="4"/>
      <c r="F611" s="4"/>
      <c r="G611" s="4"/>
      <c r="H611" s="4"/>
      <c r="I611" s="237"/>
      <c r="J611" s="238"/>
      <c r="K611" s="238"/>
      <c r="L611" s="239"/>
      <c r="M611" s="239"/>
      <c r="N611" s="239"/>
      <c r="O611" s="240"/>
      <c r="P611" s="238"/>
      <c r="Q611" s="241"/>
      <c r="R611" s="239"/>
      <c r="S611" s="239"/>
      <c r="T611" s="239"/>
      <c r="U611" s="240"/>
      <c r="V611" s="238"/>
      <c r="W611" s="242"/>
      <c r="X611" s="239"/>
      <c r="Y611" s="239"/>
      <c r="Z611" s="239"/>
      <c r="AA611" s="239"/>
      <c r="AB611" s="239"/>
      <c r="AC611" s="239"/>
      <c r="AD611" s="239"/>
      <c r="AE611" s="239"/>
      <c r="AF611" s="239"/>
      <c r="AG611" s="239"/>
      <c r="AH611" s="239"/>
      <c r="AI611" s="239"/>
      <c r="AJ611" s="239"/>
      <c r="AK611" s="239"/>
      <c r="AL611" s="239"/>
      <c r="AM611" s="4"/>
      <c r="AN611" s="4"/>
    </row>
    <row r="612" ht="15.75" customHeight="1">
      <c r="A612" s="4"/>
      <c r="B612" s="4"/>
      <c r="C612" s="12"/>
      <c r="D612" s="4"/>
      <c r="E612" s="4"/>
      <c r="F612" s="4"/>
      <c r="G612" s="4"/>
      <c r="H612" s="4"/>
      <c r="I612" s="237"/>
      <c r="J612" s="238"/>
      <c r="K612" s="238"/>
      <c r="L612" s="239"/>
      <c r="M612" s="239"/>
      <c r="N612" s="239"/>
      <c r="O612" s="240"/>
      <c r="P612" s="238"/>
      <c r="Q612" s="241"/>
      <c r="R612" s="239"/>
      <c r="S612" s="239"/>
      <c r="T612" s="239"/>
      <c r="U612" s="240"/>
      <c r="V612" s="238"/>
      <c r="W612" s="242"/>
      <c r="X612" s="239"/>
      <c r="Y612" s="239"/>
      <c r="Z612" s="239"/>
      <c r="AA612" s="239"/>
      <c r="AB612" s="239"/>
      <c r="AC612" s="239"/>
      <c r="AD612" s="239"/>
      <c r="AE612" s="239"/>
      <c r="AF612" s="239"/>
      <c r="AG612" s="239"/>
      <c r="AH612" s="239"/>
      <c r="AI612" s="239"/>
      <c r="AJ612" s="239"/>
      <c r="AK612" s="239"/>
      <c r="AL612" s="239"/>
      <c r="AM612" s="4"/>
      <c r="AN612" s="4"/>
    </row>
    <row r="613" ht="15.75" customHeight="1">
      <c r="A613" s="4"/>
      <c r="B613" s="4"/>
      <c r="C613" s="12"/>
      <c r="D613" s="4"/>
      <c r="E613" s="4"/>
      <c r="F613" s="4"/>
      <c r="G613" s="4"/>
      <c r="H613" s="4"/>
      <c r="I613" s="237"/>
      <c r="J613" s="238"/>
      <c r="K613" s="238"/>
      <c r="L613" s="239"/>
      <c r="M613" s="239"/>
      <c r="N613" s="239"/>
      <c r="O613" s="240"/>
      <c r="P613" s="238"/>
      <c r="Q613" s="241"/>
      <c r="R613" s="239"/>
      <c r="S613" s="239"/>
      <c r="T613" s="239"/>
      <c r="U613" s="240"/>
      <c r="V613" s="238"/>
      <c r="W613" s="242"/>
      <c r="X613" s="239"/>
      <c r="Y613" s="239"/>
      <c r="Z613" s="239"/>
      <c r="AA613" s="239"/>
      <c r="AB613" s="239"/>
      <c r="AC613" s="239"/>
      <c r="AD613" s="239"/>
      <c r="AE613" s="239"/>
      <c r="AF613" s="239"/>
      <c r="AG613" s="239"/>
      <c r="AH613" s="239"/>
      <c r="AI613" s="239"/>
      <c r="AJ613" s="239"/>
      <c r="AK613" s="239"/>
      <c r="AL613" s="239"/>
      <c r="AM613" s="4"/>
      <c r="AN613" s="4"/>
    </row>
    <row r="614" ht="15.75" customHeight="1">
      <c r="A614" s="4"/>
      <c r="B614" s="4"/>
      <c r="C614" s="12"/>
      <c r="D614" s="4"/>
      <c r="E614" s="4"/>
      <c r="F614" s="4"/>
      <c r="G614" s="4"/>
      <c r="H614" s="4"/>
      <c r="I614" s="237"/>
      <c r="J614" s="238"/>
      <c r="K614" s="238"/>
      <c r="L614" s="239"/>
      <c r="M614" s="239"/>
      <c r="N614" s="239"/>
      <c r="O614" s="240"/>
      <c r="P614" s="238"/>
      <c r="Q614" s="241"/>
      <c r="R614" s="239"/>
      <c r="S614" s="239"/>
      <c r="T614" s="239"/>
      <c r="U614" s="240"/>
      <c r="V614" s="238"/>
      <c r="W614" s="242"/>
      <c r="X614" s="239"/>
      <c r="Y614" s="239"/>
      <c r="Z614" s="239"/>
      <c r="AA614" s="239"/>
      <c r="AB614" s="239"/>
      <c r="AC614" s="239"/>
      <c r="AD614" s="239"/>
      <c r="AE614" s="239"/>
      <c r="AF614" s="239"/>
      <c r="AG614" s="239"/>
      <c r="AH614" s="239"/>
      <c r="AI614" s="239"/>
      <c r="AJ614" s="239"/>
      <c r="AK614" s="239"/>
      <c r="AL614" s="239"/>
      <c r="AM614" s="4"/>
      <c r="AN614" s="4"/>
    </row>
    <row r="615" ht="15.75" customHeight="1">
      <c r="A615" s="4"/>
      <c r="B615" s="4"/>
      <c r="C615" s="12"/>
      <c r="D615" s="4"/>
      <c r="E615" s="4"/>
      <c r="F615" s="4"/>
      <c r="G615" s="4"/>
      <c r="H615" s="4"/>
      <c r="I615" s="237"/>
      <c r="J615" s="238"/>
      <c r="K615" s="238"/>
      <c r="L615" s="239"/>
      <c r="M615" s="239"/>
      <c r="N615" s="239"/>
      <c r="O615" s="240"/>
      <c r="P615" s="238"/>
      <c r="Q615" s="241"/>
      <c r="R615" s="239"/>
      <c r="S615" s="239"/>
      <c r="T615" s="239"/>
      <c r="U615" s="240"/>
      <c r="V615" s="238"/>
      <c r="W615" s="242"/>
      <c r="X615" s="239"/>
      <c r="Y615" s="239"/>
      <c r="Z615" s="239"/>
      <c r="AA615" s="239"/>
      <c r="AB615" s="239"/>
      <c r="AC615" s="239"/>
      <c r="AD615" s="239"/>
      <c r="AE615" s="239"/>
      <c r="AF615" s="239"/>
      <c r="AG615" s="239"/>
      <c r="AH615" s="239"/>
      <c r="AI615" s="239"/>
      <c r="AJ615" s="239"/>
      <c r="AK615" s="239"/>
      <c r="AL615" s="239"/>
      <c r="AM615" s="4"/>
      <c r="AN615" s="4"/>
    </row>
    <row r="616" ht="15.75" customHeight="1">
      <c r="A616" s="4"/>
      <c r="B616" s="4"/>
      <c r="C616" s="12"/>
      <c r="D616" s="4"/>
      <c r="E616" s="4"/>
      <c r="F616" s="4"/>
      <c r="G616" s="4"/>
      <c r="H616" s="4"/>
      <c r="I616" s="237"/>
      <c r="J616" s="238"/>
      <c r="K616" s="238"/>
      <c r="L616" s="239"/>
      <c r="M616" s="239"/>
      <c r="N616" s="239"/>
      <c r="O616" s="240"/>
      <c r="P616" s="238"/>
      <c r="Q616" s="241"/>
      <c r="R616" s="239"/>
      <c r="S616" s="239"/>
      <c r="T616" s="239"/>
      <c r="U616" s="240"/>
      <c r="V616" s="238"/>
      <c r="W616" s="242"/>
      <c r="X616" s="239"/>
      <c r="Y616" s="239"/>
      <c r="Z616" s="239"/>
      <c r="AA616" s="239"/>
      <c r="AB616" s="239"/>
      <c r="AC616" s="239"/>
      <c r="AD616" s="239"/>
      <c r="AE616" s="239"/>
      <c r="AF616" s="239"/>
      <c r="AG616" s="239"/>
      <c r="AH616" s="239"/>
      <c r="AI616" s="239"/>
      <c r="AJ616" s="239"/>
      <c r="AK616" s="239"/>
      <c r="AL616" s="239"/>
      <c r="AM616" s="4"/>
      <c r="AN616" s="4"/>
    </row>
    <row r="617" ht="15.75" customHeight="1">
      <c r="A617" s="4"/>
      <c r="B617" s="4"/>
      <c r="C617" s="12"/>
      <c r="D617" s="4"/>
      <c r="E617" s="4"/>
      <c r="F617" s="4"/>
      <c r="G617" s="4"/>
      <c r="H617" s="4"/>
      <c r="I617" s="237"/>
      <c r="J617" s="238"/>
      <c r="K617" s="238"/>
      <c r="L617" s="239"/>
      <c r="M617" s="239"/>
      <c r="N617" s="239"/>
      <c r="O617" s="240"/>
      <c r="P617" s="238"/>
      <c r="Q617" s="241"/>
      <c r="R617" s="239"/>
      <c r="S617" s="239"/>
      <c r="T617" s="239"/>
      <c r="U617" s="240"/>
      <c r="V617" s="238"/>
      <c r="W617" s="242"/>
      <c r="X617" s="239"/>
      <c r="Y617" s="239"/>
      <c r="Z617" s="239"/>
      <c r="AA617" s="239"/>
      <c r="AB617" s="239"/>
      <c r="AC617" s="239"/>
      <c r="AD617" s="239"/>
      <c r="AE617" s="239"/>
      <c r="AF617" s="239"/>
      <c r="AG617" s="239"/>
      <c r="AH617" s="239"/>
      <c r="AI617" s="239"/>
      <c r="AJ617" s="239"/>
      <c r="AK617" s="239"/>
      <c r="AL617" s="239"/>
      <c r="AM617" s="4"/>
      <c r="AN617" s="4"/>
    </row>
    <row r="618" ht="15.75" customHeight="1">
      <c r="A618" s="4"/>
      <c r="B618" s="4"/>
      <c r="C618" s="12"/>
      <c r="D618" s="4"/>
      <c r="E618" s="4"/>
      <c r="F618" s="4"/>
      <c r="G618" s="4"/>
      <c r="H618" s="4"/>
      <c r="I618" s="237"/>
      <c r="J618" s="238"/>
      <c r="K618" s="238"/>
      <c r="L618" s="239"/>
      <c r="M618" s="239"/>
      <c r="N618" s="239"/>
      <c r="O618" s="240"/>
      <c r="P618" s="238"/>
      <c r="Q618" s="241"/>
      <c r="R618" s="239"/>
      <c r="S618" s="239"/>
      <c r="T618" s="239"/>
      <c r="U618" s="240"/>
      <c r="V618" s="238"/>
      <c r="W618" s="242"/>
      <c r="X618" s="239"/>
      <c r="Y618" s="239"/>
      <c r="Z618" s="239"/>
      <c r="AA618" s="239"/>
      <c r="AB618" s="239"/>
      <c r="AC618" s="239"/>
      <c r="AD618" s="239"/>
      <c r="AE618" s="239"/>
      <c r="AF618" s="239"/>
      <c r="AG618" s="239"/>
      <c r="AH618" s="239"/>
      <c r="AI618" s="239"/>
      <c r="AJ618" s="239"/>
      <c r="AK618" s="239"/>
      <c r="AL618" s="239"/>
      <c r="AM618" s="4"/>
      <c r="AN618" s="4"/>
    </row>
    <row r="619" ht="15.75" customHeight="1">
      <c r="A619" s="4"/>
      <c r="B619" s="4"/>
      <c r="C619" s="12"/>
      <c r="D619" s="4"/>
      <c r="E619" s="4"/>
      <c r="F619" s="4"/>
      <c r="G619" s="4"/>
      <c r="H619" s="4"/>
      <c r="I619" s="237"/>
      <c r="J619" s="238"/>
      <c r="K619" s="238"/>
      <c r="L619" s="239"/>
      <c r="M619" s="239"/>
      <c r="N619" s="239"/>
      <c r="O619" s="240"/>
      <c r="P619" s="238"/>
      <c r="Q619" s="241"/>
      <c r="R619" s="239"/>
      <c r="S619" s="239"/>
      <c r="T619" s="239"/>
      <c r="U619" s="240"/>
      <c r="V619" s="238"/>
      <c r="W619" s="242"/>
      <c r="X619" s="239"/>
      <c r="Y619" s="239"/>
      <c r="Z619" s="239"/>
      <c r="AA619" s="239"/>
      <c r="AB619" s="239"/>
      <c r="AC619" s="239"/>
      <c r="AD619" s="239"/>
      <c r="AE619" s="239"/>
      <c r="AF619" s="239"/>
      <c r="AG619" s="239"/>
      <c r="AH619" s="239"/>
      <c r="AI619" s="239"/>
      <c r="AJ619" s="239"/>
      <c r="AK619" s="239"/>
      <c r="AL619" s="239"/>
      <c r="AM619" s="4"/>
      <c r="AN619" s="4"/>
    </row>
    <row r="620" ht="15.75" customHeight="1">
      <c r="A620" s="4"/>
      <c r="B620" s="4"/>
      <c r="C620" s="12"/>
      <c r="D620" s="4"/>
      <c r="E620" s="4"/>
      <c r="F620" s="4"/>
      <c r="G620" s="4"/>
      <c r="H620" s="4"/>
      <c r="I620" s="237"/>
      <c r="J620" s="238"/>
      <c r="K620" s="238"/>
      <c r="L620" s="239"/>
      <c r="M620" s="239"/>
      <c r="N620" s="239"/>
      <c r="O620" s="240"/>
      <c r="P620" s="238"/>
      <c r="Q620" s="241"/>
      <c r="R620" s="239"/>
      <c r="S620" s="239"/>
      <c r="T620" s="239"/>
      <c r="U620" s="240"/>
      <c r="V620" s="238"/>
      <c r="W620" s="242"/>
      <c r="X620" s="239"/>
      <c r="Y620" s="239"/>
      <c r="Z620" s="239"/>
      <c r="AA620" s="239"/>
      <c r="AB620" s="239"/>
      <c r="AC620" s="239"/>
      <c r="AD620" s="239"/>
      <c r="AE620" s="239"/>
      <c r="AF620" s="239"/>
      <c r="AG620" s="239"/>
      <c r="AH620" s="239"/>
      <c r="AI620" s="239"/>
      <c r="AJ620" s="239"/>
      <c r="AK620" s="239"/>
      <c r="AL620" s="239"/>
      <c r="AM620" s="4"/>
      <c r="AN620" s="4"/>
    </row>
    <row r="621" ht="15.75" customHeight="1">
      <c r="A621" s="4"/>
      <c r="B621" s="4"/>
      <c r="C621" s="12"/>
      <c r="D621" s="4"/>
      <c r="E621" s="4"/>
      <c r="F621" s="4"/>
      <c r="G621" s="4"/>
      <c r="H621" s="4"/>
      <c r="I621" s="237"/>
      <c r="J621" s="238"/>
      <c r="K621" s="238"/>
      <c r="L621" s="239"/>
      <c r="M621" s="239"/>
      <c r="N621" s="239"/>
      <c r="O621" s="240"/>
      <c r="P621" s="238"/>
      <c r="Q621" s="241"/>
      <c r="R621" s="239"/>
      <c r="S621" s="239"/>
      <c r="T621" s="239"/>
      <c r="U621" s="240"/>
      <c r="V621" s="238"/>
      <c r="W621" s="242"/>
      <c r="X621" s="239"/>
      <c r="Y621" s="239"/>
      <c r="Z621" s="239"/>
      <c r="AA621" s="239"/>
      <c r="AB621" s="239"/>
      <c r="AC621" s="239"/>
      <c r="AD621" s="239"/>
      <c r="AE621" s="239"/>
      <c r="AF621" s="239"/>
      <c r="AG621" s="239"/>
      <c r="AH621" s="239"/>
      <c r="AI621" s="239"/>
      <c r="AJ621" s="239"/>
      <c r="AK621" s="239"/>
      <c r="AL621" s="239"/>
      <c r="AM621" s="4"/>
      <c r="AN621" s="4"/>
    </row>
    <row r="622" ht="15.75" customHeight="1">
      <c r="A622" s="4"/>
      <c r="B622" s="4"/>
      <c r="C622" s="12"/>
      <c r="D622" s="4"/>
      <c r="E622" s="4"/>
      <c r="F622" s="4"/>
      <c r="G622" s="4"/>
      <c r="H622" s="4"/>
      <c r="I622" s="237"/>
      <c r="J622" s="238"/>
      <c r="K622" s="238"/>
      <c r="L622" s="239"/>
      <c r="M622" s="239"/>
      <c r="N622" s="239"/>
      <c r="O622" s="240"/>
      <c r="P622" s="238"/>
      <c r="Q622" s="241"/>
      <c r="R622" s="239"/>
      <c r="S622" s="239"/>
      <c r="T622" s="239"/>
      <c r="U622" s="240"/>
      <c r="V622" s="238"/>
      <c r="W622" s="242"/>
      <c r="X622" s="239"/>
      <c r="Y622" s="239"/>
      <c r="Z622" s="239"/>
      <c r="AA622" s="239"/>
      <c r="AB622" s="239"/>
      <c r="AC622" s="239"/>
      <c r="AD622" s="239"/>
      <c r="AE622" s="239"/>
      <c r="AF622" s="239"/>
      <c r="AG622" s="239"/>
      <c r="AH622" s="239"/>
      <c r="AI622" s="239"/>
      <c r="AJ622" s="239"/>
      <c r="AK622" s="239"/>
      <c r="AL622" s="239"/>
      <c r="AM622" s="4"/>
      <c r="AN622" s="4"/>
    </row>
    <row r="623" ht="15.75" customHeight="1">
      <c r="A623" s="4"/>
      <c r="B623" s="4"/>
      <c r="C623" s="12"/>
      <c r="D623" s="4"/>
      <c r="E623" s="4"/>
      <c r="F623" s="4"/>
      <c r="G623" s="4"/>
      <c r="H623" s="4"/>
      <c r="I623" s="237"/>
      <c r="J623" s="238"/>
      <c r="K623" s="238"/>
      <c r="L623" s="239"/>
      <c r="M623" s="239"/>
      <c r="N623" s="239"/>
      <c r="O623" s="240"/>
      <c r="P623" s="238"/>
      <c r="Q623" s="241"/>
      <c r="R623" s="239"/>
      <c r="S623" s="239"/>
      <c r="T623" s="239"/>
      <c r="U623" s="240"/>
      <c r="V623" s="238"/>
      <c r="W623" s="242"/>
      <c r="X623" s="239"/>
      <c r="Y623" s="239"/>
      <c r="Z623" s="239"/>
      <c r="AA623" s="239"/>
      <c r="AB623" s="239"/>
      <c r="AC623" s="239"/>
      <c r="AD623" s="239"/>
      <c r="AE623" s="239"/>
      <c r="AF623" s="239"/>
      <c r="AG623" s="239"/>
      <c r="AH623" s="239"/>
      <c r="AI623" s="239"/>
      <c r="AJ623" s="239"/>
      <c r="AK623" s="239"/>
      <c r="AL623" s="239"/>
      <c r="AM623" s="4"/>
      <c r="AN623" s="4"/>
    </row>
    <row r="624" ht="15.75" customHeight="1">
      <c r="A624" s="4"/>
      <c r="B624" s="4"/>
      <c r="C624" s="12"/>
      <c r="D624" s="4"/>
      <c r="E624" s="4"/>
      <c r="F624" s="4"/>
      <c r="G624" s="4"/>
      <c r="H624" s="4"/>
      <c r="I624" s="237"/>
      <c r="J624" s="238"/>
      <c r="K624" s="238"/>
      <c r="L624" s="239"/>
      <c r="M624" s="239"/>
      <c r="N624" s="239"/>
      <c r="O624" s="240"/>
      <c r="P624" s="238"/>
      <c r="Q624" s="241"/>
      <c r="R624" s="239"/>
      <c r="S624" s="239"/>
      <c r="T624" s="239"/>
      <c r="U624" s="240"/>
      <c r="V624" s="238"/>
      <c r="W624" s="242"/>
      <c r="X624" s="239"/>
      <c r="Y624" s="239"/>
      <c r="Z624" s="239"/>
      <c r="AA624" s="239"/>
      <c r="AB624" s="239"/>
      <c r="AC624" s="239"/>
      <c r="AD624" s="239"/>
      <c r="AE624" s="239"/>
      <c r="AF624" s="239"/>
      <c r="AG624" s="239"/>
      <c r="AH624" s="239"/>
      <c r="AI624" s="239"/>
      <c r="AJ624" s="239"/>
      <c r="AK624" s="239"/>
      <c r="AL624" s="239"/>
      <c r="AM624" s="4"/>
      <c r="AN624" s="4"/>
    </row>
    <row r="625" ht="15.75" customHeight="1">
      <c r="A625" s="4"/>
      <c r="B625" s="4"/>
      <c r="C625" s="12"/>
      <c r="D625" s="4"/>
      <c r="E625" s="4"/>
      <c r="F625" s="4"/>
      <c r="G625" s="4"/>
      <c r="H625" s="4"/>
      <c r="I625" s="237"/>
      <c r="J625" s="238"/>
      <c r="K625" s="238"/>
      <c r="L625" s="239"/>
      <c r="M625" s="239"/>
      <c r="N625" s="239"/>
      <c r="O625" s="240"/>
      <c r="P625" s="238"/>
      <c r="Q625" s="241"/>
      <c r="R625" s="239"/>
      <c r="S625" s="239"/>
      <c r="T625" s="239"/>
      <c r="U625" s="240"/>
      <c r="V625" s="238"/>
      <c r="W625" s="242"/>
      <c r="X625" s="239"/>
      <c r="Y625" s="239"/>
      <c r="Z625" s="239"/>
      <c r="AA625" s="239"/>
      <c r="AB625" s="239"/>
      <c r="AC625" s="239"/>
      <c r="AD625" s="239"/>
      <c r="AE625" s="239"/>
      <c r="AF625" s="239"/>
      <c r="AG625" s="239"/>
      <c r="AH625" s="239"/>
      <c r="AI625" s="239"/>
      <c r="AJ625" s="239"/>
      <c r="AK625" s="239"/>
      <c r="AL625" s="239"/>
      <c r="AM625" s="4"/>
      <c r="AN625" s="4"/>
    </row>
    <row r="626" ht="15.75" customHeight="1">
      <c r="A626" s="4"/>
      <c r="B626" s="4"/>
      <c r="C626" s="12"/>
      <c r="D626" s="4"/>
      <c r="E626" s="4"/>
      <c r="F626" s="4"/>
      <c r="G626" s="4"/>
      <c r="H626" s="4"/>
      <c r="I626" s="237"/>
      <c r="J626" s="238"/>
      <c r="K626" s="238"/>
      <c r="L626" s="239"/>
      <c r="M626" s="239"/>
      <c r="N626" s="239"/>
      <c r="O626" s="240"/>
      <c r="P626" s="238"/>
      <c r="Q626" s="241"/>
      <c r="R626" s="239"/>
      <c r="S626" s="239"/>
      <c r="T626" s="239"/>
      <c r="U626" s="240"/>
      <c r="V626" s="238"/>
      <c r="W626" s="242"/>
      <c r="X626" s="239"/>
      <c r="Y626" s="239"/>
      <c r="Z626" s="239"/>
      <c r="AA626" s="239"/>
      <c r="AB626" s="239"/>
      <c r="AC626" s="239"/>
      <c r="AD626" s="239"/>
      <c r="AE626" s="239"/>
      <c r="AF626" s="239"/>
      <c r="AG626" s="239"/>
      <c r="AH626" s="239"/>
      <c r="AI626" s="239"/>
      <c r="AJ626" s="239"/>
      <c r="AK626" s="239"/>
      <c r="AL626" s="239"/>
      <c r="AM626" s="4"/>
      <c r="AN626" s="4"/>
    </row>
    <row r="627" ht="15.75" customHeight="1">
      <c r="A627" s="4"/>
      <c r="B627" s="4"/>
      <c r="C627" s="12"/>
      <c r="D627" s="4"/>
      <c r="E627" s="4"/>
      <c r="F627" s="4"/>
      <c r="G627" s="4"/>
      <c r="H627" s="4"/>
      <c r="I627" s="237"/>
      <c r="J627" s="238"/>
      <c r="K627" s="238"/>
      <c r="L627" s="239"/>
      <c r="M627" s="239"/>
      <c r="N627" s="239"/>
      <c r="O627" s="240"/>
      <c r="P627" s="238"/>
      <c r="Q627" s="241"/>
      <c r="R627" s="239"/>
      <c r="S627" s="239"/>
      <c r="T627" s="239"/>
      <c r="U627" s="240"/>
      <c r="V627" s="238"/>
      <c r="W627" s="242"/>
      <c r="X627" s="239"/>
      <c r="Y627" s="239"/>
      <c r="Z627" s="239"/>
      <c r="AA627" s="239"/>
      <c r="AB627" s="239"/>
      <c r="AC627" s="239"/>
      <c r="AD627" s="239"/>
      <c r="AE627" s="239"/>
      <c r="AF627" s="239"/>
      <c r="AG627" s="239"/>
      <c r="AH627" s="239"/>
      <c r="AI627" s="239"/>
      <c r="AJ627" s="239"/>
      <c r="AK627" s="239"/>
      <c r="AL627" s="239"/>
      <c r="AM627" s="4"/>
      <c r="AN627" s="4"/>
    </row>
    <row r="628" ht="15.75" customHeight="1">
      <c r="A628" s="4"/>
      <c r="B628" s="4"/>
      <c r="C628" s="12"/>
      <c r="D628" s="4"/>
      <c r="E628" s="4"/>
      <c r="F628" s="4"/>
      <c r="G628" s="4"/>
      <c r="H628" s="4"/>
      <c r="I628" s="237"/>
      <c r="J628" s="238"/>
      <c r="K628" s="238"/>
      <c r="L628" s="239"/>
      <c r="M628" s="239"/>
      <c r="N628" s="239"/>
      <c r="O628" s="240"/>
      <c r="P628" s="238"/>
      <c r="Q628" s="241"/>
      <c r="R628" s="239"/>
      <c r="S628" s="239"/>
      <c r="T628" s="239"/>
      <c r="U628" s="240"/>
      <c r="V628" s="238"/>
      <c r="W628" s="242"/>
      <c r="X628" s="239"/>
      <c r="Y628" s="239"/>
      <c r="Z628" s="239"/>
      <c r="AA628" s="239"/>
      <c r="AB628" s="239"/>
      <c r="AC628" s="239"/>
      <c r="AD628" s="239"/>
      <c r="AE628" s="239"/>
      <c r="AF628" s="239"/>
      <c r="AG628" s="239"/>
      <c r="AH628" s="239"/>
      <c r="AI628" s="239"/>
      <c r="AJ628" s="239"/>
      <c r="AK628" s="239"/>
      <c r="AL628" s="239"/>
      <c r="AM628" s="4"/>
      <c r="AN628" s="4"/>
    </row>
    <row r="629" ht="15.75" customHeight="1">
      <c r="A629" s="4"/>
      <c r="B629" s="4"/>
      <c r="C629" s="12"/>
      <c r="D629" s="4"/>
      <c r="E629" s="4"/>
      <c r="F629" s="4"/>
      <c r="G629" s="4"/>
      <c r="H629" s="4"/>
      <c r="I629" s="237"/>
      <c r="J629" s="238"/>
      <c r="K629" s="238"/>
      <c r="L629" s="239"/>
      <c r="M629" s="239"/>
      <c r="N629" s="239"/>
      <c r="O629" s="240"/>
      <c r="P629" s="238"/>
      <c r="Q629" s="241"/>
      <c r="R629" s="239"/>
      <c r="S629" s="239"/>
      <c r="T629" s="239"/>
      <c r="U629" s="240"/>
      <c r="V629" s="238"/>
      <c r="W629" s="242"/>
      <c r="X629" s="239"/>
      <c r="Y629" s="239"/>
      <c r="Z629" s="239"/>
      <c r="AA629" s="239"/>
      <c r="AB629" s="239"/>
      <c r="AC629" s="239"/>
      <c r="AD629" s="239"/>
      <c r="AE629" s="239"/>
      <c r="AF629" s="239"/>
      <c r="AG629" s="239"/>
      <c r="AH629" s="239"/>
      <c r="AI629" s="239"/>
      <c r="AJ629" s="239"/>
      <c r="AK629" s="239"/>
      <c r="AL629" s="239"/>
      <c r="AM629" s="4"/>
      <c r="AN629" s="4"/>
    </row>
    <row r="630" ht="15.75" customHeight="1">
      <c r="A630" s="4"/>
      <c r="B630" s="4"/>
      <c r="C630" s="12"/>
      <c r="D630" s="4"/>
      <c r="E630" s="4"/>
      <c r="F630" s="4"/>
      <c r="G630" s="4"/>
      <c r="H630" s="4"/>
      <c r="I630" s="237"/>
      <c r="J630" s="238"/>
      <c r="K630" s="238"/>
      <c r="L630" s="239"/>
      <c r="M630" s="239"/>
      <c r="N630" s="239"/>
      <c r="O630" s="240"/>
      <c r="P630" s="238"/>
      <c r="Q630" s="241"/>
      <c r="R630" s="239"/>
      <c r="S630" s="239"/>
      <c r="T630" s="239"/>
      <c r="U630" s="240"/>
      <c r="V630" s="238"/>
      <c r="W630" s="242"/>
      <c r="X630" s="239"/>
      <c r="Y630" s="239"/>
      <c r="Z630" s="239"/>
      <c r="AA630" s="239"/>
      <c r="AB630" s="239"/>
      <c r="AC630" s="239"/>
      <c r="AD630" s="239"/>
      <c r="AE630" s="239"/>
      <c r="AF630" s="239"/>
      <c r="AG630" s="239"/>
      <c r="AH630" s="239"/>
      <c r="AI630" s="239"/>
      <c r="AJ630" s="239"/>
      <c r="AK630" s="239"/>
      <c r="AL630" s="239"/>
      <c r="AM630" s="4"/>
      <c r="AN630" s="4"/>
    </row>
    <row r="631" ht="15.75" customHeight="1">
      <c r="A631" s="4"/>
      <c r="B631" s="4"/>
      <c r="C631" s="12"/>
      <c r="D631" s="4"/>
      <c r="E631" s="4"/>
      <c r="F631" s="4"/>
      <c r="G631" s="4"/>
      <c r="H631" s="4"/>
      <c r="I631" s="237"/>
      <c r="J631" s="238"/>
      <c r="K631" s="238"/>
      <c r="L631" s="239"/>
      <c r="M631" s="239"/>
      <c r="N631" s="239"/>
      <c r="O631" s="240"/>
      <c r="P631" s="238"/>
      <c r="Q631" s="241"/>
      <c r="R631" s="239"/>
      <c r="S631" s="239"/>
      <c r="T631" s="239"/>
      <c r="U631" s="240"/>
      <c r="V631" s="238"/>
      <c r="W631" s="242"/>
      <c r="X631" s="239"/>
      <c r="Y631" s="239"/>
      <c r="Z631" s="239"/>
      <c r="AA631" s="239"/>
      <c r="AB631" s="239"/>
      <c r="AC631" s="239"/>
      <c r="AD631" s="239"/>
      <c r="AE631" s="239"/>
      <c r="AF631" s="239"/>
      <c r="AG631" s="239"/>
      <c r="AH631" s="239"/>
      <c r="AI631" s="239"/>
      <c r="AJ631" s="239"/>
      <c r="AK631" s="239"/>
      <c r="AL631" s="239"/>
      <c r="AM631" s="4"/>
      <c r="AN631" s="4"/>
    </row>
    <row r="632" ht="15.75" customHeight="1">
      <c r="A632" s="4"/>
      <c r="B632" s="4"/>
      <c r="C632" s="12"/>
      <c r="D632" s="4"/>
      <c r="E632" s="4"/>
      <c r="F632" s="4"/>
      <c r="G632" s="4"/>
      <c r="H632" s="4"/>
      <c r="I632" s="237"/>
      <c r="J632" s="238"/>
      <c r="K632" s="238"/>
      <c r="L632" s="239"/>
      <c r="M632" s="239"/>
      <c r="N632" s="239"/>
      <c r="O632" s="240"/>
      <c r="P632" s="238"/>
      <c r="Q632" s="241"/>
      <c r="R632" s="239"/>
      <c r="S632" s="239"/>
      <c r="T632" s="239"/>
      <c r="U632" s="240"/>
      <c r="V632" s="238"/>
      <c r="W632" s="242"/>
      <c r="X632" s="239"/>
      <c r="Y632" s="239"/>
      <c r="Z632" s="239"/>
      <c r="AA632" s="239"/>
      <c r="AB632" s="239"/>
      <c r="AC632" s="239"/>
      <c r="AD632" s="239"/>
      <c r="AE632" s="239"/>
      <c r="AF632" s="239"/>
      <c r="AG632" s="239"/>
      <c r="AH632" s="239"/>
      <c r="AI632" s="239"/>
      <c r="AJ632" s="239"/>
      <c r="AK632" s="239"/>
      <c r="AL632" s="239"/>
      <c r="AM632" s="4"/>
      <c r="AN632" s="4"/>
    </row>
    <row r="633" ht="15.75" customHeight="1">
      <c r="A633" s="4"/>
      <c r="B633" s="4"/>
      <c r="C633" s="12"/>
      <c r="D633" s="4"/>
      <c r="E633" s="4"/>
      <c r="F633" s="4"/>
      <c r="G633" s="4"/>
      <c r="H633" s="4"/>
      <c r="I633" s="237"/>
      <c r="J633" s="238"/>
      <c r="K633" s="238"/>
      <c r="L633" s="239"/>
      <c r="M633" s="239"/>
      <c r="N633" s="239"/>
      <c r="O633" s="240"/>
      <c r="P633" s="238"/>
      <c r="Q633" s="241"/>
      <c r="R633" s="239"/>
      <c r="S633" s="239"/>
      <c r="T633" s="239"/>
      <c r="U633" s="240"/>
      <c r="V633" s="238"/>
      <c r="W633" s="242"/>
      <c r="X633" s="239"/>
      <c r="Y633" s="239"/>
      <c r="Z633" s="239"/>
      <c r="AA633" s="239"/>
      <c r="AB633" s="239"/>
      <c r="AC633" s="239"/>
      <c r="AD633" s="239"/>
      <c r="AE633" s="239"/>
      <c r="AF633" s="239"/>
      <c r="AG633" s="239"/>
      <c r="AH633" s="239"/>
      <c r="AI633" s="239"/>
      <c r="AJ633" s="239"/>
      <c r="AK633" s="239"/>
      <c r="AL633" s="239"/>
      <c r="AM633" s="4"/>
      <c r="AN633" s="4"/>
    </row>
    <row r="634" ht="15.75" customHeight="1">
      <c r="A634" s="4"/>
      <c r="B634" s="4"/>
      <c r="C634" s="12"/>
      <c r="D634" s="4"/>
      <c r="E634" s="4"/>
      <c r="F634" s="4"/>
      <c r="G634" s="4"/>
      <c r="H634" s="4"/>
      <c r="I634" s="237"/>
      <c r="J634" s="238"/>
      <c r="K634" s="238"/>
      <c r="L634" s="239"/>
      <c r="M634" s="239"/>
      <c r="N634" s="239"/>
      <c r="O634" s="240"/>
      <c r="P634" s="238"/>
      <c r="Q634" s="241"/>
      <c r="R634" s="239"/>
      <c r="S634" s="239"/>
      <c r="T634" s="239"/>
      <c r="U634" s="240"/>
      <c r="V634" s="238"/>
      <c r="W634" s="242"/>
      <c r="X634" s="239"/>
      <c r="Y634" s="239"/>
      <c r="Z634" s="239"/>
      <c r="AA634" s="239"/>
      <c r="AB634" s="239"/>
      <c r="AC634" s="239"/>
      <c r="AD634" s="239"/>
      <c r="AE634" s="239"/>
      <c r="AF634" s="239"/>
      <c r="AG634" s="239"/>
      <c r="AH634" s="239"/>
      <c r="AI634" s="239"/>
      <c r="AJ634" s="239"/>
      <c r="AK634" s="239"/>
      <c r="AL634" s="239"/>
      <c r="AM634" s="4"/>
      <c r="AN634" s="4"/>
    </row>
    <row r="635" ht="15.75" customHeight="1">
      <c r="A635" s="4"/>
      <c r="B635" s="4"/>
      <c r="C635" s="12"/>
      <c r="D635" s="4"/>
      <c r="E635" s="4"/>
      <c r="F635" s="4"/>
      <c r="G635" s="4"/>
      <c r="H635" s="4"/>
      <c r="I635" s="237"/>
      <c r="J635" s="238"/>
      <c r="K635" s="238"/>
      <c r="L635" s="239"/>
      <c r="M635" s="239"/>
      <c r="N635" s="239"/>
      <c r="O635" s="240"/>
      <c r="P635" s="238"/>
      <c r="Q635" s="241"/>
      <c r="R635" s="239"/>
      <c r="S635" s="239"/>
      <c r="T635" s="239"/>
      <c r="U635" s="240"/>
      <c r="V635" s="238"/>
      <c r="W635" s="242"/>
      <c r="X635" s="239"/>
      <c r="Y635" s="239"/>
      <c r="Z635" s="239"/>
      <c r="AA635" s="239"/>
      <c r="AB635" s="239"/>
      <c r="AC635" s="239"/>
      <c r="AD635" s="239"/>
      <c r="AE635" s="239"/>
      <c r="AF635" s="239"/>
      <c r="AG635" s="239"/>
      <c r="AH635" s="239"/>
      <c r="AI635" s="239"/>
      <c r="AJ635" s="239"/>
      <c r="AK635" s="239"/>
      <c r="AL635" s="239"/>
      <c r="AM635" s="4"/>
      <c r="AN635" s="4"/>
    </row>
    <row r="636" ht="15.75" customHeight="1">
      <c r="A636" s="4"/>
      <c r="B636" s="4"/>
      <c r="C636" s="12"/>
      <c r="D636" s="4"/>
      <c r="E636" s="4"/>
      <c r="F636" s="4"/>
      <c r="G636" s="4"/>
      <c r="H636" s="4"/>
      <c r="I636" s="237"/>
      <c r="J636" s="238"/>
      <c r="K636" s="238"/>
      <c r="L636" s="239"/>
      <c r="M636" s="239"/>
      <c r="N636" s="239"/>
      <c r="O636" s="240"/>
      <c r="P636" s="238"/>
      <c r="Q636" s="241"/>
      <c r="R636" s="239"/>
      <c r="S636" s="239"/>
      <c r="T636" s="239"/>
      <c r="U636" s="240"/>
      <c r="V636" s="238"/>
      <c r="W636" s="242"/>
      <c r="X636" s="239"/>
      <c r="Y636" s="239"/>
      <c r="Z636" s="239"/>
      <c r="AA636" s="239"/>
      <c r="AB636" s="239"/>
      <c r="AC636" s="239"/>
      <c r="AD636" s="239"/>
      <c r="AE636" s="239"/>
      <c r="AF636" s="239"/>
      <c r="AG636" s="239"/>
      <c r="AH636" s="239"/>
      <c r="AI636" s="239"/>
      <c r="AJ636" s="239"/>
      <c r="AK636" s="239"/>
      <c r="AL636" s="239"/>
      <c r="AM636" s="4"/>
      <c r="AN636" s="4"/>
    </row>
    <row r="637" ht="15.75" customHeight="1">
      <c r="A637" s="4"/>
      <c r="B637" s="4"/>
      <c r="C637" s="12"/>
      <c r="D637" s="4"/>
      <c r="E637" s="4"/>
      <c r="F637" s="4"/>
      <c r="G637" s="4"/>
      <c r="H637" s="4"/>
      <c r="I637" s="237"/>
      <c r="J637" s="238"/>
      <c r="K637" s="238"/>
      <c r="L637" s="239"/>
      <c r="M637" s="239"/>
      <c r="N637" s="239"/>
      <c r="O637" s="240"/>
      <c r="P637" s="238"/>
      <c r="Q637" s="241"/>
      <c r="R637" s="239"/>
      <c r="S637" s="239"/>
      <c r="T637" s="239"/>
      <c r="U637" s="240"/>
      <c r="V637" s="238"/>
      <c r="W637" s="242"/>
      <c r="X637" s="239"/>
      <c r="Y637" s="239"/>
      <c r="Z637" s="239"/>
      <c r="AA637" s="239"/>
      <c r="AB637" s="239"/>
      <c r="AC637" s="239"/>
      <c r="AD637" s="239"/>
      <c r="AE637" s="239"/>
      <c r="AF637" s="239"/>
      <c r="AG637" s="239"/>
      <c r="AH637" s="239"/>
      <c r="AI637" s="239"/>
      <c r="AJ637" s="239"/>
      <c r="AK637" s="239"/>
      <c r="AL637" s="239"/>
      <c r="AM637" s="4"/>
      <c r="AN637" s="4"/>
    </row>
    <row r="638" ht="15.75" customHeight="1">
      <c r="A638" s="4"/>
      <c r="B638" s="4"/>
      <c r="C638" s="12"/>
      <c r="D638" s="4"/>
      <c r="E638" s="4"/>
      <c r="F638" s="4"/>
      <c r="G638" s="4"/>
      <c r="H638" s="4"/>
      <c r="I638" s="237"/>
      <c r="J638" s="238"/>
      <c r="K638" s="238"/>
      <c r="L638" s="239"/>
      <c r="M638" s="239"/>
      <c r="N638" s="239"/>
      <c r="O638" s="240"/>
      <c r="P638" s="238"/>
      <c r="Q638" s="241"/>
      <c r="R638" s="239"/>
      <c r="S638" s="239"/>
      <c r="T638" s="239"/>
      <c r="U638" s="240"/>
      <c r="V638" s="238"/>
      <c r="W638" s="242"/>
      <c r="X638" s="239"/>
      <c r="Y638" s="239"/>
      <c r="Z638" s="239"/>
      <c r="AA638" s="239"/>
      <c r="AB638" s="239"/>
      <c r="AC638" s="239"/>
      <c r="AD638" s="239"/>
      <c r="AE638" s="239"/>
      <c r="AF638" s="239"/>
      <c r="AG638" s="239"/>
      <c r="AH638" s="239"/>
      <c r="AI638" s="239"/>
      <c r="AJ638" s="239"/>
      <c r="AK638" s="239"/>
      <c r="AL638" s="239"/>
      <c r="AM638" s="4"/>
      <c r="AN638" s="4"/>
    </row>
    <row r="639" ht="15.75" customHeight="1">
      <c r="A639" s="4"/>
      <c r="B639" s="4"/>
      <c r="C639" s="12"/>
      <c r="D639" s="4"/>
      <c r="E639" s="4"/>
      <c r="F639" s="4"/>
      <c r="G639" s="4"/>
      <c r="H639" s="4"/>
      <c r="I639" s="237"/>
      <c r="J639" s="238"/>
      <c r="K639" s="238"/>
      <c r="L639" s="239"/>
      <c r="M639" s="239"/>
      <c r="N639" s="239"/>
      <c r="O639" s="240"/>
      <c r="P639" s="238"/>
      <c r="Q639" s="241"/>
      <c r="R639" s="239"/>
      <c r="S639" s="239"/>
      <c r="T639" s="239"/>
      <c r="U639" s="240"/>
      <c r="V639" s="238"/>
      <c r="W639" s="242"/>
      <c r="X639" s="239"/>
      <c r="Y639" s="239"/>
      <c r="Z639" s="239"/>
      <c r="AA639" s="239"/>
      <c r="AB639" s="239"/>
      <c r="AC639" s="239"/>
      <c r="AD639" s="239"/>
      <c r="AE639" s="239"/>
      <c r="AF639" s="239"/>
      <c r="AG639" s="239"/>
      <c r="AH639" s="239"/>
      <c r="AI639" s="239"/>
      <c r="AJ639" s="239"/>
      <c r="AK639" s="239"/>
      <c r="AL639" s="239"/>
      <c r="AM639" s="4"/>
      <c r="AN639" s="4"/>
    </row>
    <row r="640" ht="15.75" customHeight="1">
      <c r="A640" s="4"/>
      <c r="B640" s="4"/>
      <c r="C640" s="12"/>
      <c r="D640" s="4"/>
      <c r="E640" s="4"/>
      <c r="F640" s="4"/>
      <c r="G640" s="4"/>
      <c r="H640" s="4"/>
      <c r="I640" s="237"/>
      <c r="J640" s="238"/>
      <c r="K640" s="238"/>
      <c r="L640" s="239"/>
      <c r="M640" s="239"/>
      <c r="N640" s="239"/>
      <c r="O640" s="240"/>
      <c r="P640" s="238"/>
      <c r="Q640" s="241"/>
      <c r="R640" s="239"/>
      <c r="S640" s="239"/>
      <c r="T640" s="239"/>
      <c r="U640" s="240"/>
      <c r="V640" s="238"/>
      <c r="W640" s="242"/>
      <c r="X640" s="239"/>
      <c r="Y640" s="239"/>
      <c r="Z640" s="239"/>
      <c r="AA640" s="239"/>
      <c r="AB640" s="239"/>
      <c r="AC640" s="239"/>
      <c r="AD640" s="239"/>
      <c r="AE640" s="239"/>
      <c r="AF640" s="239"/>
      <c r="AG640" s="239"/>
      <c r="AH640" s="239"/>
      <c r="AI640" s="239"/>
      <c r="AJ640" s="239"/>
      <c r="AK640" s="239"/>
      <c r="AL640" s="239"/>
      <c r="AM640" s="4"/>
      <c r="AN640" s="4"/>
    </row>
    <row r="641" ht="15.75" customHeight="1">
      <c r="A641" s="4"/>
      <c r="B641" s="4"/>
      <c r="C641" s="12"/>
      <c r="D641" s="4"/>
      <c r="E641" s="4"/>
      <c r="F641" s="4"/>
      <c r="G641" s="4"/>
      <c r="H641" s="4"/>
      <c r="I641" s="237"/>
      <c r="J641" s="238"/>
      <c r="K641" s="238"/>
      <c r="L641" s="239"/>
      <c r="M641" s="239"/>
      <c r="N641" s="239"/>
      <c r="O641" s="240"/>
      <c r="P641" s="238"/>
      <c r="Q641" s="241"/>
      <c r="R641" s="239"/>
      <c r="S641" s="239"/>
      <c r="T641" s="239"/>
      <c r="U641" s="240"/>
      <c r="V641" s="238"/>
      <c r="W641" s="242"/>
      <c r="X641" s="239"/>
      <c r="Y641" s="239"/>
      <c r="Z641" s="239"/>
      <c r="AA641" s="239"/>
      <c r="AB641" s="239"/>
      <c r="AC641" s="239"/>
      <c r="AD641" s="239"/>
      <c r="AE641" s="239"/>
      <c r="AF641" s="239"/>
      <c r="AG641" s="239"/>
      <c r="AH641" s="239"/>
      <c r="AI641" s="239"/>
      <c r="AJ641" s="239"/>
      <c r="AK641" s="239"/>
      <c r="AL641" s="239"/>
      <c r="AM641" s="4"/>
      <c r="AN641" s="4"/>
    </row>
    <row r="642" ht="15.75" customHeight="1">
      <c r="A642" s="4"/>
      <c r="B642" s="4"/>
      <c r="C642" s="12"/>
      <c r="D642" s="4"/>
      <c r="E642" s="4"/>
      <c r="F642" s="4"/>
      <c r="G642" s="4"/>
      <c r="H642" s="4"/>
      <c r="I642" s="237"/>
      <c r="J642" s="238"/>
      <c r="K642" s="238"/>
      <c r="L642" s="239"/>
      <c r="M642" s="239"/>
      <c r="N642" s="239"/>
      <c r="O642" s="240"/>
      <c r="P642" s="238"/>
      <c r="Q642" s="241"/>
      <c r="R642" s="239"/>
      <c r="S642" s="239"/>
      <c r="T642" s="239"/>
      <c r="U642" s="240"/>
      <c r="V642" s="238"/>
      <c r="W642" s="242"/>
      <c r="X642" s="239"/>
      <c r="Y642" s="239"/>
      <c r="Z642" s="239"/>
      <c r="AA642" s="239"/>
      <c r="AB642" s="239"/>
      <c r="AC642" s="239"/>
      <c r="AD642" s="239"/>
      <c r="AE642" s="239"/>
      <c r="AF642" s="239"/>
      <c r="AG642" s="239"/>
      <c r="AH642" s="239"/>
      <c r="AI642" s="239"/>
      <c r="AJ642" s="239"/>
      <c r="AK642" s="239"/>
      <c r="AL642" s="239"/>
      <c r="AM642" s="4"/>
      <c r="AN642" s="4"/>
    </row>
    <row r="643" ht="15.75" customHeight="1">
      <c r="A643" s="4"/>
      <c r="B643" s="4"/>
      <c r="C643" s="12"/>
      <c r="D643" s="4"/>
      <c r="E643" s="4"/>
      <c r="F643" s="4"/>
      <c r="G643" s="4"/>
      <c r="H643" s="4"/>
      <c r="I643" s="237"/>
      <c r="J643" s="238"/>
      <c r="K643" s="238"/>
      <c r="L643" s="239"/>
      <c r="M643" s="239"/>
      <c r="N643" s="239"/>
      <c r="O643" s="240"/>
      <c r="P643" s="238"/>
      <c r="Q643" s="241"/>
      <c r="R643" s="239"/>
      <c r="S643" s="239"/>
      <c r="T643" s="239"/>
      <c r="U643" s="240"/>
      <c r="V643" s="238"/>
      <c r="W643" s="242"/>
      <c r="X643" s="239"/>
      <c r="Y643" s="239"/>
      <c r="Z643" s="239"/>
      <c r="AA643" s="239"/>
      <c r="AB643" s="239"/>
      <c r="AC643" s="239"/>
      <c r="AD643" s="239"/>
      <c r="AE643" s="239"/>
      <c r="AF643" s="239"/>
      <c r="AG643" s="239"/>
      <c r="AH643" s="239"/>
      <c r="AI643" s="239"/>
      <c r="AJ643" s="239"/>
      <c r="AK643" s="239"/>
      <c r="AL643" s="239"/>
      <c r="AM643" s="4"/>
      <c r="AN643" s="4"/>
    </row>
    <row r="644" ht="15.75" customHeight="1">
      <c r="A644" s="4"/>
      <c r="B644" s="4"/>
      <c r="C644" s="12"/>
      <c r="D644" s="4"/>
      <c r="E644" s="4"/>
      <c r="F644" s="4"/>
      <c r="G644" s="4"/>
      <c r="H644" s="4"/>
      <c r="I644" s="237"/>
      <c r="J644" s="238"/>
      <c r="K644" s="238"/>
      <c r="L644" s="239"/>
      <c r="M644" s="239"/>
      <c r="N644" s="239"/>
      <c r="O644" s="240"/>
      <c r="P644" s="238"/>
      <c r="Q644" s="241"/>
      <c r="R644" s="239"/>
      <c r="S644" s="239"/>
      <c r="T644" s="239"/>
      <c r="U644" s="240"/>
      <c r="V644" s="238"/>
      <c r="W644" s="242"/>
      <c r="X644" s="239"/>
      <c r="Y644" s="239"/>
      <c r="Z644" s="239"/>
      <c r="AA644" s="239"/>
      <c r="AB644" s="239"/>
      <c r="AC644" s="239"/>
      <c r="AD644" s="239"/>
      <c r="AE644" s="239"/>
      <c r="AF644" s="239"/>
      <c r="AG644" s="239"/>
      <c r="AH644" s="239"/>
      <c r="AI644" s="239"/>
      <c r="AJ644" s="239"/>
      <c r="AK644" s="239"/>
      <c r="AL644" s="239"/>
      <c r="AM644" s="4"/>
      <c r="AN644" s="4"/>
    </row>
    <row r="645" ht="15.75" customHeight="1">
      <c r="A645" s="4"/>
      <c r="B645" s="4"/>
      <c r="C645" s="12"/>
      <c r="D645" s="4"/>
      <c r="E645" s="4"/>
      <c r="F645" s="4"/>
      <c r="G645" s="4"/>
      <c r="H645" s="4"/>
      <c r="I645" s="237"/>
      <c r="J645" s="238"/>
      <c r="K645" s="238"/>
      <c r="L645" s="239"/>
      <c r="M645" s="239"/>
      <c r="N645" s="239"/>
      <c r="O645" s="240"/>
      <c r="P645" s="238"/>
      <c r="Q645" s="241"/>
      <c r="R645" s="239"/>
      <c r="S645" s="239"/>
      <c r="T645" s="239"/>
      <c r="U645" s="240"/>
      <c r="V645" s="238"/>
      <c r="W645" s="242"/>
      <c r="X645" s="239"/>
      <c r="Y645" s="239"/>
      <c r="Z645" s="239"/>
      <c r="AA645" s="239"/>
      <c r="AB645" s="239"/>
      <c r="AC645" s="239"/>
      <c r="AD645" s="239"/>
      <c r="AE645" s="239"/>
      <c r="AF645" s="239"/>
      <c r="AG645" s="239"/>
      <c r="AH645" s="239"/>
      <c r="AI645" s="239"/>
      <c r="AJ645" s="239"/>
      <c r="AK645" s="239"/>
      <c r="AL645" s="239"/>
      <c r="AM645" s="4"/>
      <c r="AN645" s="4"/>
    </row>
    <row r="646" ht="15.75" customHeight="1">
      <c r="A646" s="4"/>
      <c r="B646" s="4"/>
      <c r="C646" s="12"/>
      <c r="D646" s="4"/>
      <c r="E646" s="4"/>
      <c r="F646" s="4"/>
      <c r="G646" s="4"/>
      <c r="H646" s="4"/>
      <c r="I646" s="237"/>
      <c r="J646" s="238"/>
      <c r="K646" s="238"/>
      <c r="L646" s="239"/>
      <c r="M646" s="239"/>
      <c r="N646" s="239"/>
      <c r="O646" s="240"/>
      <c r="P646" s="238"/>
      <c r="Q646" s="241"/>
      <c r="R646" s="239"/>
      <c r="S646" s="239"/>
      <c r="T646" s="239"/>
      <c r="U646" s="240"/>
      <c r="V646" s="238"/>
      <c r="W646" s="242"/>
      <c r="X646" s="239"/>
      <c r="Y646" s="239"/>
      <c r="Z646" s="239"/>
      <c r="AA646" s="239"/>
      <c r="AB646" s="239"/>
      <c r="AC646" s="239"/>
      <c r="AD646" s="239"/>
      <c r="AE646" s="239"/>
      <c r="AF646" s="239"/>
      <c r="AG646" s="239"/>
      <c r="AH646" s="239"/>
      <c r="AI646" s="239"/>
      <c r="AJ646" s="239"/>
      <c r="AK646" s="239"/>
      <c r="AL646" s="239"/>
      <c r="AM646" s="4"/>
      <c r="AN646" s="4"/>
    </row>
    <row r="647" ht="15.75" customHeight="1">
      <c r="A647" s="4"/>
      <c r="B647" s="4"/>
      <c r="C647" s="12"/>
      <c r="D647" s="4"/>
      <c r="E647" s="4"/>
      <c r="F647" s="4"/>
      <c r="G647" s="4"/>
      <c r="H647" s="4"/>
      <c r="I647" s="237"/>
      <c r="J647" s="238"/>
      <c r="K647" s="238"/>
      <c r="L647" s="239"/>
      <c r="M647" s="239"/>
      <c r="N647" s="239"/>
      <c r="O647" s="240"/>
      <c r="P647" s="238"/>
      <c r="Q647" s="241"/>
      <c r="R647" s="239"/>
      <c r="S647" s="239"/>
      <c r="T647" s="239"/>
      <c r="U647" s="240"/>
      <c r="V647" s="238"/>
      <c r="W647" s="242"/>
      <c r="X647" s="239"/>
      <c r="Y647" s="239"/>
      <c r="Z647" s="239"/>
      <c r="AA647" s="239"/>
      <c r="AB647" s="239"/>
      <c r="AC647" s="239"/>
      <c r="AD647" s="239"/>
      <c r="AE647" s="239"/>
      <c r="AF647" s="239"/>
      <c r="AG647" s="239"/>
      <c r="AH647" s="239"/>
      <c r="AI647" s="239"/>
      <c r="AJ647" s="239"/>
      <c r="AK647" s="239"/>
      <c r="AL647" s="239"/>
      <c r="AM647" s="4"/>
      <c r="AN647" s="4"/>
    </row>
    <row r="648" ht="15.75" customHeight="1">
      <c r="A648" s="4"/>
      <c r="B648" s="4"/>
      <c r="C648" s="12"/>
      <c r="D648" s="4"/>
      <c r="E648" s="4"/>
      <c r="F648" s="4"/>
      <c r="G648" s="4"/>
      <c r="H648" s="4"/>
      <c r="I648" s="237"/>
      <c r="J648" s="238"/>
      <c r="K648" s="238"/>
      <c r="L648" s="239"/>
      <c r="M648" s="239"/>
      <c r="N648" s="239"/>
      <c r="O648" s="240"/>
      <c r="P648" s="238"/>
      <c r="Q648" s="241"/>
      <c r="R648" s="239"/>
      <c r="S648" s="239"/>
      <c r="T648" s="239"/>
      <c r="U648" s="240"/>
      <c r="V648" s="238"/>
      <c r="W648" s="242"/>
      <c r="X648" s="239"/>
      <c r="Y648" s="239"/>
      <c r="Z648" s="239"/>
      <c r="AA648" s="239"/>
      <c r="AB648" s="239"/>
      <c r="AC648" s="239"/>
      <c r="AD648" s="239"/>
      <c r="AE648" s="239"/>
      <c r="AF648" s="239"/>
      <c r="AG648" s="239"/>
      <c r="AH648" s="239"/>
      <c r="AI648" s="239"/>
      <c r="AJ648" s="239"/>
      <c r="AK648" s="239"/>
      <c r="AL648" s="239"/>
      <c r="AM648" s="4"/>
      <c r="AN648" s="4"/>
    </row>
    <row r="649" ht="15.75" customHeight="1">
      <c r="A649" s="4"/>
      <c r="B649" s="4"/>
      <c r="C649" s="12"/>
      <c r="D649" s="4"/>
      <c r="E649" s="4"/>
      <c r="F649" s="4"/>
      <c r="G649" s="4"/>
      <c r="H649" s="4"/>
      <c r="I649" s="237"/>
      <c r="J649" s="238"/>
      <c r="K649" s="238"/>
      <c r="L649" s="239"/>
      <c r="M649" s="239"/>
      <c r="N649" s="239"/>
      <c r="O649" s="240"/>
      <c r="P649" s="238"/>
      <c r="Q649" s="241"/>
      <c r="R649" s="239"/>
      <c r="S649" s="239"/>
      <c r="T649" s="239"/>
      <c r="U649" s="240"/>
      <c r="V649" s="238"/>
      <c r="W649" s="242"/>
      <c r="X649" s="239"/>
      <c r="Y649" s="239"/>
      <c r="Z649" s="239"/>
      <c r="AA649" s="239"/>
      <c r="AB649" s="239"/>
      <c r="AC649" s="239"/>
      <c r="AD649" s="239"/>
      <c r="AE649" s="239"/>
      <c r="AF649" s="239"/>
      <c r="AG649" s="239"/>
      <c r="AH649" s="239"/>
      <c r="AI649" s="239"/>
      <c r="AJ649" s="239"/>
      <c r="AK649" s="239"/>
      <c r="AL649" s="239"/>
      <c r="AM649" s="4"/>
      <c r="AN649" s="4"/>
    </row>
    <row r="650" ht="15.75" customHeight="1">
      <c r="A650" s="4"/>
      <c r="B650" s="4"/>
      <c r="C650" s="12"/>
      <c r="D650" s="4"/>
      <c r="E650" s="4"/>
      <c r="F650" s="4"/>
      <c r="G650" s="4"/>
      <c r="H650" s="4"/>
      <c r="I650" s="237"/>
      <c r="J650" s="238"/>
      <c r="K650" s="238"/>
      <c r="L650" s="239"/>
      <c r="M650" s="239"/>
      <c r="N650" s="239"/>
      <c r="O650" s="240"/>
      <c r="P650" s="238"/>
      <c r="Q650" s="241"/>
      <c r="R650" s="239"/>
      <c r="S650" s="239"/>
      <c r="T650" s="239"/>
      <c r="U650" s="240"/>
      <c r="V650" s="238"/>
      <c r="W650" s="242"/>
      <c r="X650" s="239"/>
      <c r="Y650" s="239"/>
      <c r="Z650" s="239"/>
      <c r="AA650" s="239"/>
      <c r="AB650" s="239"/>
      <c r="AC650" s="239"/>
      <c r="AD650" s="239"/>
      <c r="AE650" s="239"/>
      <c r="AF650" s="239"/>
      <c r="AG650" s="239"/>
      <c r="AH650" s="239"/>
      <c r="AI650" s="239"/>
      <c r="AJ650" s="239"/>
      <c r="AK650" s="239"/>
      <c r="AL650" s="239"/>
      <c r="AM650" s="4"/>
      <c r="AN650" s="4"/>
    </row>
    <row r="651" ht="15.75" customHeight="1">
      <c r="A651" s="4"/>
      <c r="B651" s="4"/>
      <c r="C651" s="12"/>
      <c r="D651" s="4"/>
      <c r="E651" s="4"/>
      <c r="F651" s="4"/>
      <c r="G651" s="4"/>
      <c r="H651" s="4"/>
      <c r="I651" s="237"/>
      <c r="J651" s="238"/>
      <c r="K651" s="238"/>
      <c r="L651" s="239"/>
      <c r="M651" s="239"/>
      <c r="N651" s="239"/>
      <c r="O651" s="240"/>
      <c r="P651" s="238"/>
      <c r="Q651" s="241"/>
      <c r="R651" s="239"/>
      <c r="S651" s="239"/>
      <c r="T651" s="239"/>
      <c r="U651" s="240"/>
      <c r="V651" s="238"/>
      <c r="W651" s="242"/>
      <c r="X651" s="239"/>
      <c r="Y651" s="239"/>
      <c r="Z651" s="239"/>
      <c r="AA651" s="239"/>
      <c r="AB651" s="239"/>
      <c r="AC651" s="239"/>
      <c r="AD651" s="239"/>
      <c r="AE651" s="239"/>
      <c r="AF651" s="239"/>
      <c r="AG651" s="239"/>
      <c r="AH651" s="239"/>
      <c r="AI651" s="239"/>
      <c r="AJ651" s="239"/>
      <c r="AK651" s="239"/>
      <c r="AL651" s="239"/>
      <c r="AM651" s="4"/>
      <c r="AN651" s="4"/>
    </row>
    <row r="652" ht="15.75" customHeight="1">
      <c r="A652" s="4"/>
      <c r="B652" s="4"/>
      <c r="C652" s="12"/>
      <c r="D652" s="4"/>
      <c r="E652" s="4"/>
      <c r="F652" s="4"/>
      <c r="G652" s="4"/>
      <c r="H652" s="4"/>
      <c r="I652" s="237"/>
      <c r="J652" s="238"/>
      <c r="K652" s="238"/>
      <c r="L652" s="239"/>
      <c r="M652" s="239"/>
      <c r="N652" s="239"/>
      <c r="O652" s="240"/>
      <c r="P652" s="238"/>
      <c r="Q652" s="241"/>
      <c r="R652" s="239"/>
      <c r="S652" s="239"/>
      <c r="T652" s="239"/>
      <c r="U652" s="240"/>
      <c r="V652" s="238"/>
      <c r="W652" s="242"/>
      <c r="X652" s="239"/>
      <c r="Y652" s="239"/>
      <c r="Z652" s="239"/>
      <c r="AA652" s="239"/>
      <c r="AB652" s="239"/>
      <c r="AC652" s="239"/>
      <c r="AD652" s="239"/>
      <c r="AE652" s="239"/>
      <c r="AF652" s="239"/>
      <c r="AG652" s="239"/>
      <c r="AH652" s="239"/>
      <c r="AI652" s="239"/>
      <c r="AJ652" s="239"/>
      <c r="AK652" s="239"/>
      <c r="AL652" s="239"/>
      <c r="AM652" s="4"/>
      <c r="AN652" s="4"/>
    </row>
    <row r="653" ht="15.75" customHeight="1">
      <c r="A653" s="4"/>
      <c r="B653" s="4"/>
      <c r="C653" s="12"/>
      <c r="D653" s="4"/>
      <c r="E653" s="4"/>
      <c r="F653" s="4"/>
      <c r="G653" s="4"/>
      <c r="H653" s="4"/>
      <c r="I653" s="237"/>
      <c r="J653" s="238"/>
      <c r="K653" s="238"/>
      <c r="L653" s="239"/>
      <c r="M653" s="239"/>
      <c r="N653" s="239"/>
      <c r="O653" s="240"/>
      <c r="P653" s="238"/>
      <c r="Q653" s="241"/>
      <c r="R653" s="239"/>
      <c r="S653" s="239"/>
      <c r="T653" s="239"/>
      <c r="U653" s="240"/>
      <c r="V653" s="238"/>
      <c r="W653" s="242"/>
      <c r="X653" s="239"/>
      <c r="Y653" s="239"/>
      <c r="Z653" s="239"/>
      <c r="AA653" s="239"/>
      <c r="AB653" s="239"/>
      <c r="AC653" s="239"/>
      <c r="AD653" s="239"/>
      <c r="AE653" s="239"/>
      <c r="AF653" s="239"/>
      <c r="AG653" s="239"/>
      <c r="AH653" s="239"/>
      <c r="AI653" s="239"/>
      <c r="AJ653" s="239"/>
      <c r="AK653" s="239"/>
      <c r="AL653" s="239"/>
      <c r="AM653" s="4"/>
      <c r="AN653" s="4"/>
    </row>
    <row r="654" ht="15.75" customHeight="1">
      <c r="A654" s="4"/>
      <c r="B654" s="4"/>
      <c r="C654" s="12"/>
      <c r="D654" s="4"/>
      <c r="E654" s="4"/>
      <c r="F654" s="4"/>
      <c r="G654" s="4"/>
      <c r="H654" s="4"/>
      <c r="I654" s="237"/>
      <c r="J654" s="238"/>
      <c r="K654" s="238"/>
      <c r="L654" s="239"/>
      <c r="M654" s="239"/>
      <c r="N654" s="239"/>
      <c r="O654" s="240"/>
      <c r="P654" s="238"/>
      <c r="Q654" s="241"/>
      <c r="R654" s="239"/>
      <c r="S654" s="239"/>
      <c r="T654" s="239"/>
      <c r="U654" s="240"/>
      <c r="V654" s="238"/>
      <c r="W654" s="242"/>
      <c r="X654" s="239"/>
      <c r="Y654" s="239"/>
      <c r="Z654" s="239"/>
      <c r="AA654" s="239"/>
      <c r="AB654" s="239"/>
      <c r="AC654" s="239"/>
      <c r="AD654" s="239"/>
      <c r="AE654" s="239"/>
      <c r="AF654" s="239"/>
      <c r="AG654" s="239"/>
      <c r="AH654" s="239"/>
      <c r="AI654" s="239"/>
      <c r="AJ654" s="239"/>
      <c r="AK654" s="239"/>
      <c r="AL654" s="239"/>
      <c r="AM654" s="4"/>
      <c r="AN654" s="4"/>
    </row>
    <row r="655" ht="15.75" customHeight="1">
      <c r="A655" s="4"/>
      <c r="B655" s="4"/>
      <c r="C655" s="12"/>
      <c r="D655" s="4"/>
      <c r="E655" s="4"/>
      <c r="F655" s="4"/>
      <c r="G655" s="4"/>
      <c r="H655" s="4"/>
      <c r="I655" s="237"/>
      <c r="J655" s="238"/>
      <c r="K655" s="238"/>
      <c r="L655" s="239"/>
      <c r="M655" s="239"/>
      <c r="N655" s="239"/>
      <c r="O655" s="240"/>
      <c r="P655" s="238"/>
      <c r="Q655" s="241"/>
      <c r="R655" s="239"/>
      <c r="S655" s="239"/>
      <c r="T655" s="239"/>
      <c r="U655" s="240"/>
      <c r="V655" s="238"/>
      <c r="W655" s="242"/>
      <c r="X655" s="239"/>
      <c r="Y655" s="239"/>
      <c r="Z655" s="239"/>
      <c r="AA655" s="239"/>
      <c r="AB655" s="239"/>
      <c r="AC655" s="239"/>
      <c r="AD655" s="239"/>
      <c r="AE655" s="239"/>
      <c r="AF655" s="239"/>
      <c r="AG655" s="239"/>
      <c r="AH655" s="239"/>
      <c r="AI655" s="239"/>
      <c r="AJ655" s="239"/>
      <c r="AK655" s="239"/>
      <c r="AL655" s="239"/>
      <c r="AM655" s="4"/>
      <c r="AN655" s="4"/>
    </row>
    <row r="656" ht="15.75" customHeight="1">
      <c r="A656" s="4"/>
      <c r="B656" s="4"/>
      <c r="C656" s="12"/>
      <c r="D656" s="4"/>
      <c r="E656" s="4"/>
      <c r="F656" s="4"/>
      <c r="G656" s="4"/>
      <c r="H656" s="4"/>
      <c r="I656" s="237"/>
      <c r="J656" s="238"/>
      <c r="K656" s="238"/>
      <c r="L656" s="239"/>
      <c r="M656" s="239"/>
      <c r="N656" s="239"/>
      <c r="O656" s="240"/>
      <c r="P656" s="238"/>
      <c r="Q656" s="241"/>
      <c r="R656" s="239"/>
      <c r="S656" s="239"/>
      <c r="T656" s="239"/>
      <c r="U656" s="240"/>
      <c r="V656" s="238"/>
      <c r="W656" s="242"/>
      <c r="X656" s="239"/>
      <c r="Y656" s="239"/>
      <c r="Z656" s="239"/>
      <c r="AA656" s="239"/>
      <c r="AB656" s="239"/>
      <c r="AC656" s="239"/>
      <c r="AD656" s="239"/>
      <c r="AE656" s="239"/>
      <c r="AF656" s="239"/>
      <c r="AG656" s="239"/>
      <c r="AH656" s="239"/>
      <c r="AI656" s="239"/>
      <c r="AJ656" s="239"/>
      <c r="AK656" s="239"/>
      <c r="AL656" s="239"/>
      <c r="AM656" s="4"/>
      <c r="AN656" s="4"/>
    </row>
    <row r="657" ht="15.75" customHeight="1">
      <c r="A657" s="4"/>
      <c r="B657" s="4"/>
      <c r="C657" s="12"/>
      <c r="D657" s="4"/>
      <c r="E657" s="4"/>
      <c r="F657" s="4"/>
      <c r="G657" s="4"/>
      <c r="H657" s="4"/>
      <c r="I657" s="237"/>
      <c r="J657" s="238"/>
      <c r="K657" s="238"/>
      <c r="L657" s="239"/>
      <c r="M657" s="239"/>
      <c r="N657" s="239"/>
      <c r="O657" s="240"/>
      <c r="P657" s="238"/>
      <c r="Q657" s="241"/>
      <c r="R657" s="239"/>
      <c r="S657" s="239"/>
      <c r="T657" s="239"/>
      <c r="U657" s="240"/>
      <c r="V657" s="238"/>
      <c r="W657" s="242"/>
      <c r="X657" s="239"/>
      <c r="Y657" s="239"/>
      <c r="Z657" s="239"/>
      <c r="AA657" s="239"/>
      <c r="AB657" s="239"/>
      <c r="AC657" s="239"/>
      <c r="AD657" s="239"/>
      <c r="AE657" s="239"/>
      <c r="AF657" s="239"/>
      <c r="AG657" s="239"/>
      <c r="AH657" s="239"/>
      <c r="AI657" s="239"/>
      <c r="AJ657" s="239"/>
      <c r="AK657" s="239"/>
      <c r="AL657" s="239"/>
      <c r="AM657" s="4"/>
      <c r="AN657" s="4"/>
    </row>
    <row r="658" ht="15.75" customHeight="1">
      <c r="A658" s="4"/>
      <c r="B658" s="4"/>
      <c r="C658" s="12"/>
      <c r="D658" s="4"/>
      <c r="E658" s="4"/>
      <c r="F658" s="4"/>
      <c r="G658" s="4"/>
      <c r="H658" s="4"/>
      <c r="I658" s="237"/>
      <c r="J658" s="238"/>
      <c r="K658" s="238"/>
      <c r="L658" s="239"/>
      <c r="M658" s="239"/>
      <c r="N658" s="239"/>
      <c r="O658" s="240"/>
      <c r="P658" s="238"/>
      <c r="Q658" s="241"/>
      <c r="R658" s="239"/>
      <c r="S658" s="239"/>
      <c r="T658" s="239"/>
      <c r="U658" s="240"/>
      <c r="V658" s="238"/>
      <c r="W658" s="242"/>
      <c r="X658" s="239"/>
      <c r="Y658" s="239"/>
      <c r="Z658" s="239"/>
      <c r="AA658" s="239"/>
      <c r="AB658" s="239"/>
      <c r="AC658" s="239"/>
      <c r="AD658" s="239"/>
      <c r="AE658" s="239"/>
      <c r="AF658" s="239"/>
      <c r="AG658" s="239"/>
      <c r="AH658" s="239"/>
      <c r="AI658" s="239"/>
      <c r="AJ658" s="239"/>
      <c r="AK658" s="239"/>
      <c r="AL658" s="239"/>
      <c r="AM658" s="4"/>
      <c r="AN658" s="4"/>
    </row>
    <row r="659" ht="15.75" customHeight="1">
      <c r="A659" s="4"/>
      <c r="B659" s="4"/>
      <c r="C659" s="12"/>
      <c r="D659" s="4"/>
      <c r="E659" s="4"/>
      <c r="F659" s="4"/>
      <c r="G659" s="4"/>
      <c r="H659" s="4"/>
      <c r="I659" s="237"/>
      <c r="J659" s="238"/>
      <c r="K659" s="238"/>
      <c r="L659" s="239"/>
      <c r="M659" s="239"/>
      <c r="N659" s="239"/>
      <c r="O659" s="240"/>
      <c r="P659" s="238"/>
      <c r="Q659" s="241"/>
      <c r="R659" s="239"/>
      <c r="S659" s="239"/>
      <c r="T659" s="239"/>
      <c r="U659" s="240"/>
      <c r="V659" s="238"/>
      <c r="W659" s="242"/>
      <c r="X659" s="239"/>
      <c r="Y659" s="239"/>
      <c r="Z659" s="239"/>
      <c r="AA659" s="239"/>
      <c r="AB659" s="239"/>
      <c r="AC659" s="239"/>
      <c r="AD659" s="239"/>
      <c r="AE659" s="239"/>
      <c r="AF659" s="239"/>
      <c r="AG659" s="239"/>
      <c r="AH659" s="239"/>
      <c r="AI659" s="239"/>
      <c r="AJ659" s="239"/>
      <c r="AK659" s="239"/>
      <c r="AL659" s="239"/>
      <c r="AM659" s="4"/>
      <c r="AN659" s="4"/>
    </row>
    <row r="660" ht="15.75" customHeight="1">
      <c r="A660" s="4"/>
      <c r="B660" s="4"/>
      <c r="C660" s="12"/>
      <c r="D660" s="4"/>
      <c r="E660" s="4"/>
      <c r="F660" s="4"/>
      <c r="G660" s="4"/>
      <c r="H660" s="4"/>
      <c r="I660" s="237"/>
      <c r="J660" s="238"/>
      <c r="K660" s="238"/>
      <c r="L660" s="239"/>
      <c r="M660" s="239"/>
      <c r="N660" s="239"/>
      <c r="O660" s="240"/>
      <c r="P660" s="238"/>
      <c r="Q660" s="241"/>
      <c r="R660" s="239"/>
      <c r="S660" s="239"/>
      <c r="T660" s="239"/>
      <c r="U660" s="240"/>
      <c r="V660" s="238"/>
      <c r="W660" s="242"/>
      <c r="X660" s="239"/>
      <c r="Y660" s="239"/>
      <c r="Z660" s="239"/>
      <c r="AA660" s="239"/>
      <c r="AB660" s="239"/>
      <c r="AC660" s="239"/>
      <c r="AD660" s="239"/>
      <c r="AE660" s="239"/>
      <c r="AF660" s="239"/>
      <c r="AG660" s="239"/>
      <c r="AH660" s="239"/>
      <c r="AI660" s="239"/>
      <c r="AJ660" s="239"/>
      <c r="AK660" s="239"/>
      <c r="AL660" s="239"/>
      <c r="AM660" s="4"/>
      <c r="AN660" s="4"/>
    </row>
    <row r="661" ht="15.75" customHeight="1">
      <c r="A661" s="4"/>
      <c r="B661" s="4"/>
      <c r="C661" s="12"/>
      <c r="D661" s="4"/>
      <c r="E661" s="4"/>
      <c r="F661" s="4"/>
      <c r="G661" s="4"/>
      <c r="H661" s="4"/>
      <c r="I661" s="237"/>
      <c r="J661" s="238"/>
      <c r="K661" s="238"/>
      <c r="L661" s="239"/>
      <c r="M661" s="239"/>
      <c r="N661" s="239"/>
      <c r="O661" s="240"/>
      <c r="P661" s="238"/>
      <c r="Q661" s="241"/>
      <c r="R661" s="239"/>
      <c r="S661" s="239"/>
      <c r="T661" s="239"/>
      <c r="U661" s="240"/>
      <c r="V661" s="238"/>
      <c r="W661" s="242"/>
      <c r="X661" s="239"/>
      <c r="Y661" s="239"/>
      <c r="Z661" s="239"/>
      <c r="AA661" s="239"/>
      <c r="AB661" s="239"/>
      <c r="AC661" s="239"/>
      <c r="AD661" s="239"/>
      <c r="AE661" s="239"/>
      <c r="AF661" s="239"/>
      <c r="AG661" s="239"/>
      <c r="AH661" s="239"/>
      <c r="AI661" s="239"/>
      <c r="AJ661" s="239"/>
      <c r="AK661" s="239"/>
      <c r="AL661" s="239"/>
      <c r="AM661" s="4"/>
      <c r="AN661" s="4"/>
    </row>
    <row r="662" ht="15.75" customHeight="1">
      <c r="A662" s="4"/>
      <c r="B662" s="4"/>
      <c r="C662" s="12"/>
      <c r="D662" s="4"/>
      <c r="E662" s="4"/>
      <c r="F662" s="4"/>
      <c r="G662" s="4"/>
      <c r="H662" s="4"/>
      <c r="I662" s="237"/>
      <c r="J662" s="238"/>
      <c r="K662" s="238"/>
      <c r="L662" s="239"/>
      <c r="M662" s="239"/>
      <c r="N662" s="239"/>
      <c r="O662" s="240"/>
      <c r="P662" s="238"/>
      <c r="Q662" s="241"/>
      <c r="R662" s="239"/>
      <c r="S662" s="239"/>
      <c r="T662" s="239"/>
      <c r="U662" s="240"/>
      <c r="V662" s="238"/>
      <c r="W662" s="242"/>
      <c r="X662" s="239"/>
      <c r="Y662" s="239"/>
      <c r="Z662" s="239"/>
      <c r="AA662" s="239"/>
      <c r="AB662" s="239"/>
      <c r="AC662" s="239"/>
      <c r="AD662" s="239"/>
      <c r="AE662" s="239"/>
      <c r="AF662" s="239"/>
      <c r="AG662" s="239"/>
      <c r="AH662" s="239"/>
      <c r="AI662" s="239"/>
      <c r="AJ662" s="239"/>
      <c r="AK662" s="239"/>
      <c r="AL662" s="239"/>
      <c r="AM662" s="4"/>
      <c r="AN662" s="4"/>
    </row>
    <row r="663" ht="15.75" customHeight="1">
      <c r="A663" s="4"/>
      <c r="B663" s="4"/>
      <c r="C663" s="12"/>
      <c r="D663" s="4"/>
      <c r="E663" s="4"/>
      <c r="F663" s="4"/>
      <c r="G663" s="4"/>
      <c r="H663" s="4"/>
      <c r="I663" s="237"/>
      <c r="J663" s="238"/>
      <c r="K663" s="238"/>
      <c r="L663" s="239"/>
      <c r="M663" s="239"/>
      <c r="N663" s="239"/>
      <c r="O663" s="240"/>
      <c r="P663" s="238"/>
      <c r="Q663" s="241"/>
      <c r="R663" s="239"/>
      <c r="S663" s="239"/>
      <c r="T663" s="239"/>
      <c r="U663" s="240"/>
      <c r="V663" s="238"/>
      <c r="W663" s="242"/>
      <c r="X663" s="239"/>
      <c r="Y663" s="239"/>
      <c r="Z663" s="239"/>
      <c r="AA663" s="239"/>
      <c r="AB663" s="239"/>
      <c r="AC663" s="239"/>
      <c r="AD663" s="239"/>
      <c r="AE663" s="239"/>
      <c r="AF663" s="239"/>
      <c r="AG663" s="239"/>
      <c r="AH663" s="239"/>
      <c r="AI663" s="239"/>
      <c r="AJ663" s="239"/>
      <c r="AK663" s="239"/>
      <c r="AL663" s="239"/>
      <c r="AM663" s="4"/>
      <c r="AN663" s="4"/>
    </row>
    <row r="664" ht="15.75" customHeight="1">
      <c r="A664" s="4"/>
      <c r="B664" s="4"/>
      <c r="C664" s="12"/>
      <c r="D664" s="4"/>
      <c r="E664" s="4"/>
      <c r="F664" s="4"/>
      <c r="G664" s="4"/>
      <c r="H664" s="4"/>
      <c r="I664" s="237"/>
      <c r="J664" s="238"/>
      <c r="K664" s="238"/>
      <c r="L664" s="239"/>
      <c r="M664" s="239"/>
      <c r="N664" s="239"/>
      <c r="O664" s="240"/>
      <c r="P664" s="238"/>
      <c r="Q664" s="241"/>
      <c r="R664" s="239"/>
      <c r="S664" s="239"/>
      <c r="T664" s="239"/>
      <c r="U664" s="240"/>
      <c r="V664" s="238"/>
      <c r="W664" s="242"/>
      <c r="X664" s="239"/>
      <c r="Y664" s="239"/>
      <c r="Z664" s="239"/>
      <c r="AA664" s="239"/>
      <c r="AB664" s="239"/>
      <c r="AC664" s="239"/>
      <c r="AD664" s="239"/>
      <c r="AE664" s="239"/>
      <c r="AF664" s="239"/>
      <c r="AG664" s="239"/>
      <c r="AH664" s="239"/>
      <c r="AI664" s="239"/>
      <c r="AJ664" s="239"/>
      <c r="AK664" s="239"/>
      <c r="AL664" s="239"/>
      <c r="AM664" s="4"/>
      <c r="AN664" s="4"/>
    </row>
    <row r="665" ht="15.75" customHeight="1">
      <c r="A665" s="4"/>
      <c r="B665" s="4"/>
      <c r="C665" s="12"/>
      <c r="D665" s="4"/>
      <c r="E665" s="4"/>
      <c r="F665" s="4"/>
      <c r="G665" s="4"/>
      <c r="H665" s="4"/>
      <c r="I665" s="237"/>
      <c r="J665" s="238"/>
      <c r="K665" s="238"/>
      <c r="L665" s="239"/>
      <c r="M665" s="239"/>
      <c r="N665" s="239"/>
      <c r="O665" s="240"/>
      <c r="P665" s="238"/>
      <c r="Q665" s="241"/>
      <c r="R665" s="239"/>
      <c r="S665" s="239"/>
      <c r="T665" s="239"/>
      <c r="U665" s="240"/>
      <c r="V665" s="238"/>
      <c r="W665" s="242"/>
      <c r="X665" s="239"/>
      <c r="Y665" s="239"/>
      <c r="Z665" s="239"/>
      <c r="AA665" s="239"/>
      <c r="AB665" s="239"/>
      <c r="AC665" s="239"/>
      <c r="AD665" s="239"/>
      <c r="AE665" s="239"/>
      <c r="AF665" s="239"/>
      <c r="AG665" s="239"/>
      <c r="AH665" s="239"/>
      <c r="AI665" s="239"/>
      <c r="AJ665" s="239"/>
      <c r="AK665" s="239"/>
      <c r="AL665" s="239"/>
      <c r="AM665" s="4"/>
      <c r="AN665" s="4"/>
    </row>
    <row r="666" ht="15.75" customHeight="1">
      <c r="A666" s="4"/>
      <c r="B666" s="4"/>
      <c r="C666" s="12"/>
      <c r="D666" s="4"/>
      <c r="E666" s="4"/>
      <c r="F666" s="4"/>
      <c r="G666" s="4"/>
      <c r="H666" s="4"/>
      <c r="I666" s="237"/>
      <c r="J666" s="238"/>
      <c r="K666" s="238"/>
      <c r="L666" s="239"/>
      <c r="M666" s="239"/>
      <c r="N666" s="239"/>
      <c r="O666" s="240"/>
      <c r="P666" s="238"/>
      <c r="Q666" s="241"/>
      <c r="R666" s="239"/>
      <c r="S666" s="239"/>
      <c r="T666" s="239"/>
      <c r="U666" s="240"/>
      <c r="V666" s="238"/>
      <c r="W666" s="242"/>
      <c r="X666" s="239"/>
      <c r="Y666" s="239"/>
      <c r="Z666" s="239"/>
      <c r="AA666" s="239"/>
      <c r="AB666" s="239"/>
      <c r="AC666" s="239"/>
      <c r="AD666" s="239"/>
      <c r="AE666" s="239"/>
      <c r="AF666" s="239"/>
      <c r="AG666" s="239"/>
      <c r="AH666" s="239"/>
      <c r="AI666" s="239"/>
      <c r="AJ666" s="239"/>
      <c r="AK666" s="239"/>
      <c r="AL666" s="239"/>
      <c r="AM666" s="4"/>
      <c r="AN666" s="4"/>
    </row>
    <row r="667" ht="15.75" customHeight="1">
      <c r="A667" s="4"/>
      <c r="B667" s="4"/>
      <c r="C667" s="12"/>
      <c r="D667" s="4"/>
      <c r="E667" s="4"/>
      <c r="F667" s="4"/>
      <c r="G667" s="4"/>
      <c r="H667" s="4"/>
      <c r="I667" s="237"/>
      <c r="J667" s="238"/>
      <c r="K667" s="238"/>
      <c r="L667" s="239"/>
      <c r="M667" s="239"/>
      <c r="N667" s="239"/>
      <c r="O667" s="240"/>
      <c r="P667" s="238"/>
      <c r="Q667" s="241"/>
      <c r="R667" s="239"/>
      <c r="S667" s="239"/>
      <c r="T667" s="239"/>
      <c r="U667" s="240"/>
      <c r="V667" s="238"/>
      <c r="W667" s="242"/>
      <c r="X667" s="239"/>
      <c r="Y667" s="239"/>
      <c r="Z667" s="239"/>
      <c r="AA667" s="239"/>
      <c r="AB667" s="239"/>
      <c r="AC667" s="239"/>
      <c r="AD667" s="239"/>
      <c r="AE667" s="239"/>
      <c r="AF667" s="239"/>
      <c r="AG667" s="239"/>
      <c r="AH667" s="239"/>
      <c r="AI667" s="239"/>
      <c r="AJ667" s="239"/>
      <c r="AK667" s="239"/>
      <c r="AL667" s="239"/>
      <c r="AM667" s="4"/>
      <c r="AN667" s="4"/>
    </row>
    <row r="668" ht="15.75" customHeight="1">
      <c r="A668" s="4"/>
      <c r="B668" s="4"/>
      <c r="C668" s="12"/>
      <c r="D668" s="4"/>
      <c r="E668" s="4"/>
      <c r="F668" s="4"/>
      <c r="G668" s="4"/>
      <c r="H668" s="4"/>
      <c r="I668" s="237"/>
      <c r="J668" s="238"/>
      <c r="K668" s="238"/>
      <c r="L668" s="239"/>
      <c r="M668" s="239"/>
      <c r="N668" s="239"/>
      <c r="O668" s="240"/>
      <c r="P668" s="238"/>
      <c r="Q668" s="241"/>
      <c r="R668" s="239"/>
      <c r="S668" s="239"/>
      <c r="T668" s="239"/>
      <c r="U668" s="240"/>
      <c r="V668" s="238"/>
      <c r="W668" s="242"/>
      <c r="X668" s="239"/>
      <c r="Y668" s="239"/>
      <c r="Z668" s="239"/>
      <c r="AA668" s="239"/>
      <c r="AB668" s="239"/>
      <c r="AC668" s="239"/>
      <c r="AD668" s="239"/>
      <c r="AE668" s="239"/>
      <c r="AF668" s="239"/>
      <c r="AG668" s="239"/>
      <c r="AH668" s="239"/>
      <c r="AI668" s="239"/>
      <c r="AJ668" s="239"/>
      <c r="AK668" s="239"/>
      <c r="AL668" s="239"/>
      <c r="AM668" s="4"/>
      <c r="AN668" s="4"/>
    </row>
    <row r="669" ht="15.75" customHeight="1">
      <c r="A669" s="4"/>
      <c r="B669" s="4"/>
      <c r="C669" s="12"/>
      <c r="D669" s="4"/>
      <c r="E669" s="4"/>
      <c r="F669" s="4"/>
      <c r="G669" s="4"/>
      <c r="H669" s="4"/>
      <c r="I669" s="237"/>
      <c r="J669" s="238"/>
      <c r="K669" s="238"/>
      <c r="L669" s="239"/>
      <c r="M669" s="239"/>
      <c r="N669" s="239"/>
      <c r="O669" s="240"/>
      <c r="P669" s="238"/>
      <c r="Q669" s="241"/>
      <c r="R669" s="239"/>
      <c r="S669" s="239"/>
      <c r="T669" s="239"/>
      <c r="U669" s="240"/>
      <c r="V669" s="238"/>
      <c r="W669" s="242"/>
      <c r="X669" s="239"/>
      <c r="Y669" s="239"/>
      <c r="Z669" s="239"/>
      <c r="AA669" s="239"/>
      <c r="AB669" s="239"/>
      <c r="AC669" s="239"/>
      <c r="AD669" s="239"/>
      <c r="AE669" s="239"/>
      <c r="AF669" s="239"/>
      <c r="AG669" s="239"/>
      <c r="AH669" s="239"/>
      <c r="AI669" s="239"/>
      <c r="AJ669" s="239"/>
      <c r="AK669" s="239"/>
      <c r="AL669" s="239"/>
      <c r="AM669" s="4"/>
      <c r="AN669" s="4"/>
    </row>
    <row r="670" ht="15.75" customHeight="1">
      <c r="A670" s="4"/>
      <c r="B670" s="4"/>
      <c r="C670" s="12"/>
      <c r="D670" s="4"/>
      <c r="E670" s="4"/>
      <c r="F670" s="4"/>
      <c r="G670" s="4"/>
      <c r="H670" s="4"/>
      <c r="I670" s="237"/>
      <c r="J670" s="238"/>
      <c r="K670" s="238"/>
      <c r="L670" s="239"/>
      <c r="M670" s="239"/>
      <c r="N670" s="239"/>
      <c r="O670" s="240"/>
      <c r="P670" s="238"/>
      <c r="Q670" s="241"/>
      <c r="R670" s="239"/>
      <c r="S670" s="239"/>
      <c r="T670" s="239"/>
      <c r="U670" s="240"/>
      <c r="V670" s="238"/>
      <c r="W670" s="242"/>
      <c r="X670" s="239"/>
      <c r="Y670" s="239"/>
      <c r="Z670" s="239"/>
      <c r="AA670" s="239"/>
      <c r="AB670" s="239"/>
      <c r="AC670" s="239"/>
      <c r="AD670" s="239"/>
      <c r="AE670" s="239"/>
      <c r="AF670" s="239"/>
      <c r="AG670" s="239"/>
      <c r="AH670" s="239"/>
      <c r="AI670" s="239"/>
      <c r="AJ670" s="239"/>
      <c r="AK670" s="239"/>
      <c r="AL670" s="239"/>
      <c r="AM670" s="4"/>
      <c r="AN670" s="4"/>
    </row>
    <row r="671" ht="15.75" customHeight="1">
      <c r="A671" s="4"/>
      <c r="B671" s="4"/>
      <c r="C671" s="12"/>
      <c r="D671" s="4"/>
      <c r="E671" s="4"/>
      <c r="F671" s="4"/>
      <c r="G671" s="4"/>
      <c r="H671" s="4"/>
      <c r="I671" s="237"/>
      <c r="J671" s="238"/>
      <c r="K671" s="238"/>
      <c r="L671" s="239"/>
      <c r="M671" s="239"/>
      <c r="N671" s="239"/>
      <c r="O671" s="240"/>
      <c r="P671" s="238"/>
      <c r="Q671" s="241"/>
      <c r="R671" s="239"/>
      <c r="S671" s="239"/>
      <c r="T671" s="239"/>
      <c r="U671" s="240"/>
      <c r="V671" s="238"/>
      <c r="W671" s="242"/>
      <c r="X671" s="239"/>
      <c r="Y671" s="239"/>
      <c r="Z671" s="239"/>
      <c r="AA671" s="239"/>
      <c r="AB671" s="239"/>
      <c r="AC671" s="239"/>
      <c r="AD671" s="239"/>
      <c r="AE671" s="239"/>
      <c r="AF671" s="239"/>
      <c r="AG671" s="239"/>
      <c r="AH671" s="239"/>
      <c r="AI671" s="239"/>
      <c r="AJ671" s="239"/>
      <c r="AK671" s="239"/>
      <c r="AL671" s="239"/>
      <c r="AM671" s="4"/>
      <c r="AN671" s="4"/>
    </row>
    <row r="672" ht="15.75" customHeight="1">
      <c r="A672" s="4"/>
      <c r="B672" s="4"/>
      <c r="C672" s="12"/>
      <c r="D672" s="4"/>
      <c r="E672" s="4"/>
      <c r="F672" s="4"/>
      <c r="G672" s="4"/>
      <c r="H672" s="4"/>
      <c r="I672" s="237"/>
      <c r="J672" s="238"/>
      <c r="K672" s="238"/>
      <c r="L672" s="239"/>
      <c r="M672" s="239"/>
      <c r="N672" s="239"/>
      <c r="O672" s="240"/>
      <c r="P672" s="238"/>
      <c r="Q672" s="241"/>
      <c r="R672" s="239"/>
      <c r="S672" s="239"/>
      <c r="T672" s="239"/>
      <c r="U672" s="240"/>
      <c r="V672" s="238"/>
      <c r="W672" s="242"/>
      <c r="X672" s="239"/>
      <c r="Y672" s="239"/>
      <c r="Z672" s="239"/>
      <c r="AA672" s="239"/>
      <c r="AB672" s="239"/>
      <c r="AC672" s="239"/>
      <c r="AD672" s="239"/>
      <c r="AE672" s="239"/>
      <c r="AF672" s="239"/>
      <c r="AG672" s="239"/>
      <c r="AH672" s="239"/>
      <c r="AI672" s="239"/>
      <c r="AJ672" s="239"/>
      <c r="AK672" s="239"/>
      <c r="AL672" s="239"/>
      <c r="AM672" s="4"/>
      <c r="AN672" s="4"/>
    </row>
    <row r="673" ht="15.75" customHeight="1">
      <c r="A673" s="4"/>
      <c r="B673" s="4"/>
      <c r="C673" s="12"/>
      <c r="D673" s="4"/>
      <c r="E673" s="4"/>
      <c r="F673" s="4"/>
      <c r="G673" s="4"/>
      <c r="H673" s="4"/>
      <c r="I673" s="237"/>
      <c r="J673" s="238"/>
      <c r="K673" s="238"/>
      <c r="L673" s="239"/>
      <c r="M673" s="239"/>
      <c r="N673" s="239"/>
      <c r="O673" s="240"/>
      <c r="P673" s="238"/>
      <c r="Q673" s="241"/>
      <c r="R673" s="239"/>
      <c r="S673" s="239"/>
      <c r="T673" s="239"/>
      <c r="U673" s="240"/>
      <c r="V673" s="238"/>
      <c r="W673" s="242"/>
      <c r="X673" s="239"/>
      <c r="Y673" s="239"/>
      <c r="Z673" s="239"/>
      <c r="AA673" s="239"/>
      <c r="AB673" s="239"/>
      <c r="AC673" s="239"/>
      <c r="AD673" s="239"/>
      <c r="AE673" s="239"/>
      <c r="AF673" s="239"/>
      <c r="AG673" s="239"/>
      <c r="AH673" s="239"/>
      <c r="AI673" s="239"/>
      <c r="AJ673" s="239"/>
      <c r="AK673" s="239"/>
      <c r="AL673" s="239"/>
      <c r="AM673" s="4"/>
      <c r="AN673" s="4"/>
    </row>
    <row r="674" ht="15.75" customHeight="1">
      <c r="A674" s="4"/>
      <c r="B674" s="4"/>
      <c r="C674" s="12"/>
      <c r="D674" s="4"/>
      <c r="E674" s="4"/>
      <c r="F674" s="4"/>
      <c r="G674" s="4"/>
      <c r="H674" s="4"/>
      <c r="I674" s="237"/>
      <c r="J674" s="238"/>
      <c r="K674" s="238"/>
      <c r="L674" s="239"/>
      <c r="M674" s="239"/>
      <c r="N674" s="239"/>
      <c r="O674" s="240"/>
      <c r="P674" s="238"/>
      <c r="Q674" s="241"/>
      <c r="R674" s="239"/>
      <c r="S674" s="239"/>
      <c r="T674" s="239"/>
      <c r="U674" s="240"/>
      <c r="V674" s="238"/>
      <c r="W674" s="242"/>
      <c r="X674" s="239"/>
      <c r="Y674" s="239"/>
      <c r="Z674" s="239"/>
      <c r="AA674" s="239"/>
      <c r="AB674" s="239"/>
      <c r="AC674" s="239"/>
      <c r="AD674" s="239"/>
      <c r="AE674" s="239"/>
      <c r="AF674" s="239"/>
      <c r="AG674" s="239"/>
      <c r="AH674" s="239"/>
      <c r="AI674" s="239"/>
      <c r="AJ674" s="239"/>
      <c r="AK674" s="239"/>
      <c r="AL674" s="239"/>
      <c r="AM674" s="4"/>
      <c r="AN674" s="4"/>
    </row>
    <row r="675" ht="15.75" customHeight="1">
      <c r="A675" s="4"/>
      <c r="B675" s="4"/>
      <c r="C675" s="12"/>
      <c r="D675" s="4"/>
      <c r="E675" s="4"/>
      <c r="F675" s="4"/>
      <c r="G675" s="4"/>
      <c r="H675" s="4"/>
      <c r="I675" s="237"/>
      <c r="J675" s="238"/>
      <c r="K675" s="238"/>
      <c r="L675" s="239"/>
      <c r="M675" s="239"/>
      <c r="N675" s="239"/>
      <c r="O675" s="240"/>
      <c r="P675" s="238"/>
      <c r="Q675" s="241"/>
      <c r="R675" s="239"/>
      <c r="S675" s="239"/>
      <c r="T675" s="239"/>
      <c r="U675" s="240"/>
      <c r="V675" s="238"/>
      <c r="W675" s="242"/>
      <c r="X675" s="239"/>
      <c r="Y675" s="239"/>
      <c r="Z675" s="239"/>
      <c r="AA675" s="239"/>
      <c r="AB675" s="239"/>
      <c r="AC675" s="239"/>
      <c r="AD675" s="239"/>
      <c r="AE675" s="239"/>
      <c r="AF675" s="239"/>
      <c r="AG675" s="239"/>
      <c r="AH675" s="239"/>
      <c r="AI675" s="239"/>
      <c r="AJ675" s="239"/>
      <c r="AK675" s="239"/>
      <c r="AL675" s="239"/>
      <c r="AM675" s="4"/>
      <c r="AN675" s="4"/>
    </row>
    <row r="676" ht="15.75" customHeight="1">
      <c r="A676" s="4"/>
      <c r="B676" s="4"/>
      <c r="C676" s="12"/>
      <c r="D676" s="4"/>
      <c r="E676" s="4"/>
      <c r="F676" s="4"/>
      <c r="G676" s="4"/>
      <c r="H676" s="4"/>
      <c r="I676" s="237"/>
      <c r="J676" s="238"/>
      <c r="K676" s="238"/>
      <c r="L676" s="239"/>
      <c r="M676" s="239"/>
      <c r="N676" s="239"/>
      <c r="O676" s="240"/>
      <c r="P676" s="238"/>
      <c r="Q676" s="241"/>
      <c r="R676" s="239"/>
      <c r="S676" s="239"/>
      <c r="T676" s="239"/>
      <c r="U676" s="240"/>
      <c r="V676" s="238"/>
      <c r="W676" s="242"/>
      <c r="X676" s="239"/>
      <c r="Y676" s="239"/>
      <c r="Z676" s="239"/>
      <c r="AA676" s="239"/>
      <c r="AB676" s="239"/>
      <c r="AC676" s="239"/>
      <c r="AD676" s="239"/>
      <c r="AE676" s="239"/>
      <c r="AF676" s="239"/>
      <c r="AG676" s="239"/>
      <c r="AH676" s="239"/>
      <c r="AI676" s="239"/>
      <c r="AJ676" s="239"/>
      <c r="AK676" s="239"/>
      <c r="AL676" s="239"/>
      <c r="AM676" s="4"/>
      <c r="AN676" s="4"/>
    </row>
    <row r="677" ht="15.75" customHeight="1">
      <c r="A677" s="4"/>
      <c r="B677" s="4"/>
      <c r="C677" s="12"/>
      <c r="D677" s="4"/>
      <c r="E677" s="4"/>
      <c r="F677" s="4"/>
      <c r="G677" s="4"/>
      <c r="H677" s="4"/>
      <c r="I677" s="237"/>
      <c r="J677" s="238"/>
      <c r="K677" s="238"/>
      <c r="L677" s="239"/>
      <c r="M677" s="239"/>
      <c r="N677" s="239"/>
      <c r="O677" s="240"/>
      <c r="P677" s="238"/>
      <c r="Q677" s="241"/>
      <c r="R677" s="239"/>
      <c r="S677" s="239"/>
      <c r="T677" s="239"/>
      <c r="U677" s="240"/>
      <c r="V677" s="238"/>
      <c r="W677" s="242"/>
      <c r="X677" s="239"/>
      <c r="Y677" s="239"/>
      <c r="Z677" s="239"/>
      <c r="AA677" s="239"/>
      <c r="AB677" s="239"/>
      <c r="AC677" s="239"/>
      <c r="AD677" s="239"/>
      <c r="AE677" s="239"/>
      <c r="AF677" s="239"/>
      <c r="AG677" s="239"/>
      <c r="AH677" s="239"/>
      <c r="AI677" s="239"/>
      <c r="AJ677" s="239"/>
      <c r="AK677" s="239"/>
      <c r="AL677" s="239"/>
      <c r="AM677" s="4"/>
      <c r="AN677" s="4"/>
    </row>
    <row r="678" ht="15.75" customHeight="1">
      <c r="A678" s="4"/>
      <c r="B678" s="4"/>
      <c r="C678" s="12"/>
      <c r="D678" s="4"/>
      <c r="E678" s="4"/>
      <c r="F678" s="4"/>
      <c r="G678" s="4"/>
      <c r="H678" s="4"/>
      <c r="I678" s="237"/>
      <c r="J678" s="238"/>
      <c r="K678" s="238"/>
      <c r="L678" s="239"/>
      <c r="M678" s="239"/>
      <c r="N678" s="239"/>
      <c r="O678" s="240"/>
      <c r="P678" s="238"/>
      <c r="Q678" s="241"/>
      <c r="R678" s="239"/>
      <c r="S678" s="239"/>
      <c r="T678" s="239"/>
      <c r="U678" s="240"/>
      <c r="V678" s="238"/>
      <c r="W678" s="242"/>
      <c r="X678" s="239"/>
      <c r="Y678" s="239"/>
      <c r="Z678" s="239"/>
      <c r="AA678" s="239"/>
      <c r="AB678" s="239"/>
      <c r="AC678" s="239"/>
      <c r="AD678" s="239"/>
      <c r="AE678" s="239"/>
      <c r="AF678" s="239"/>
      <c r="AG678" s="239"/>
      <c r="AH678" s="239"/>
      <c r="AI678" s="239"/>
      <c r="AJ678" s="239"/>
      <c r="AK678" s="239"/>
      <c r="AL678" s="239"/>
      <c r="AM678" s="4"/>
      <c r="AN678" s="4"/>
    </row>
    <row r="679" ht="15.75" customHeight="1">
      <c r="A679" s="4"/>
      <c r="B679" s="4"/>
      <c r="C679" s="12"/>
      <c r="D679" s="4"/>
      <c r="E679" s="4"/>
      <c r="F679" s="4"/>
      <c r="G679" s="4"/>
      <c r="H679" s="4"/>
      <c r="I679" s="237"/>
      <c r="J679" s="238"/>
      <c r="K679" s="238"/>
      <c r="L679" s="239"/>
      <c r="M679" s="239"/>
      <c r="N679" s="239"/>
      <c r="O679" s="240"/>
      <c r="P679" s="238"/>
      <c r="Q679" s="241"/>
      <c r="R679" s="239"/>
      <c r="S679" s="239"/>
      <c r="T679" s="239"/>
      <c r="U679" s="240"/>
      <c r="V679" s="238"/>
      <c r="W679" s="242"/>
      <c r="X679" s="239"/>
      <c r="Y679" s="239"/>
      <c r="Z679" s="239"/>
      <c r="AA679" s="239"/>
      <c r="AB679" s="239"/>
      <c r="AC679" s="239"/>
      <c r="AD679" s="239"/>
      <c r="AE679" s="239"/>
      <c r="AF679" s="239"/>
      <c r="AG679" s="239"/>
      <c r="AH679" s="239"/>
      <c r="AI679" s="239"/>
      <c r="AJ679" s="239"/>
      <c r="AK679" s="239"/>
      <c r="AL679" s="239"/>
      <c r="AM679" s="4"/>
      <c r="AN679" s="4"/>
    </row>
    <row r="680" ht="15.75" customHeight="1">
      <c r="A680" s="4"/>
      <c r="B680" s="4"/>
      <c r="C680" s="12"/>
      <c r="D680" s="4"/>
      <c r="E680" s="4"/>
      <c r="F680" s="4"/>
      <c r="G680" s="4"/>
      <c r="H680" s="4"/>
      <c r="I680" s="237"/>
      <c r="J680" s="238"/>
      <c r="K680" s="238"/>
      <c r="L680" s="239"/>
      <c r="M680" s="239"/>
      <c r="N680" s="239"/>
      <c r="O680" s="240"/>
      <c r="P680" s="238"/>
      <c r="Q680" s="241"/>
      <c r="R680" s="239"/>
      <c r="S680" s="239"/>
      <c r="T680" s="239"/>
      <c r="U680" s="240"/>
      <c r="V680" s="238"/>
      <c r="W680" s="242"/>
      <c r="X680" s="239"/>
      <c r="Y680" s="239"/>
      <c r="Z680" s="239"/>
      <c r="AA680" s="239"/>
      <c r="AB680" s="239"/>
      <c r="AC680" s="239"/>
      <c r="AD680" s="239"/>
      <c r="AE680" s="239"/>
      <c r="AF680" s="239"/>
      <c r="AG680" s="239"/>
      <c r="AH680" s="239"/>
      <c r="AI680" s="239"/>
      <c r="AJ680" s="239"/>
      <c r="AK680" s="239"/>
      <c r="AL680" s="239"/>
      <c r="AM680" s="4"/>
      <c r="AN680" s="4"/>
    </row>
    <row r="681" ht="15.75" customHeight="1">
      <c r="A681" s="4"/>
      <c r="B681" s="4"/>
      <c r="C681" s="12"/>
      <c r="D681" s="4"/>
      <c r="E681" s="4"/>
      <c r="F681" s="4"/>
      <c r="G681" s="4"/>
      <c r="H681" s="4"/>
      <c r="I681" s="237"/>
      <c r="J681" s="238"/>
      <c r="K681" s="238"/>
      <c r="L681" s="239"/>
      <c r="M681" s="239"/>
      <c r="N681" s="239"/>
      <c r="O681" s="240"/>
      <c r="P681" s="238"/>
      <c r="Q681" s="241"/>
      <c r="R681" s="239"/>
      <c r="S681" s="239"/>
      <c r="T681" s="239"/>
      <c r="U681" s="240"/>
      <c r="V681" s="238"/>
      <c r="W681" s="242"/>
      <c r="X681" s="239"/>
      <c r="Y681" s="239"/>
      <c r="Z681" s="239"/>
      <c r="AA681" s="239"/>
      <c r="AB681" s="239"/>
      <c r="AC681" s="239"/>
      <c r="AD681" s="239"/>
      <c r="AE681" s="239"/>
      <c r="AF681" s="239"/>
      <c r="AG681" s="239"/>
      <c r="AH681" s="239"/>
      <c r="AI681" s="239"/>
      <c r="AJ681" s="239"/>
      <c r="AK681" s="239"/>
      <c r="AL681" s="239"/>
      <c r="AM681" s="4"/>
      <c r="AN681" s="4"/>
    </row>
    <row r="682" ht="15.75" customHeight="1">
      <c r="A682" s="4"/>
      <c r="B682" s="4"/>
      <c r="C682" s="12"/>
      <c r="D682" s="4"/>
      <c r="E682" s="4"/>
      <c r="F682" s="4"/>
      <c r="G682" s="4"/>
      <c r="H682" s="4"/>
      <c r="I682" s="237"/>
      <c r="J682" s="238"/>
      <c r="K682" s="238"/>
      <c r="L682" s="239"/>
      <c r="M682" s="239"/>
      <c r="N682" s="239"/>
      <c r="O682" s="240"/>
      <c r="P682" s="238"/>
      <c r="Q682" s="241"/>
      <c r="R682" s="239"/>
      <c r="S682" s="239"/>
      <c r="T682" s="239"/>
      <c r="U682" s="240"/>
      <c r="V682" s="238"/>
      <c r="W682" s="242"/>
      <c r="X682" s="239"/>
      <c r="Y682" s="239"/>
      <c r="Z682" s="239"/>
      <c r="AA682" s="239"/>
      <c r="AB682" s="239"/>
      <c r="AC682" s="239"/>
      <c r="AD682" s="239"/>
      <c r="AE682" s="239"/>
      <c r="AF682" s="239"/>
      <c r="AG682" s="239"/>
      <c r="AH682" s="239"/>
      <c r="AI682" s="239"/>
      <c r="AJ682" s="239"/>
      <c r="AK682" s="239"/>
      <c r="AL682" s="239"/>
      <c r="AM682" s="4"/>
      <c r="AN682" s="4"/>
    </row>
    <row r="683" ht="15.75" customHeight="1">
      <c r="A683" s="4"/>
      <c r="B683" s="4"/>
      <c r="C683" s="12"/>
      <c r="D683" s="4"/>
      <c r="E683" s="4"/>
      <c r="F683" s="4"/>
      <c r="G683" s="4"/>
      <c r="H683" s="4"/>
      <c r="I683" s="237"/>
      <c r="J683" s="238"/>
      <c r="K683" s="238"/>
      <c r="L683" s="239"/>
      <c r="M683" s="239"/>
      <c r="N683" s="239"/>
      <c r="O683" s="240"/>
      <c r="P683" s="238"/>
      <c r="Q683" s="241"/>
      <c r="R683" s="239"/>
      <c r="S683" s="239"/>
      <c r="T683" s="239"/>
      <c r="U683" s="240"/>
      <c r="V683" s="238"/>
      <c r="W683" s="242"/>
      <c r="X683" s="239"/>
      <c r="Y683" s="239"/>
      <c r="Z683" s="239"/>
      <c r="AA683" s="239"/>
      <c r="AB683" s="239"/>
      <c r="AC683" s="239"/>
      <c r="AD683" s="239"/>
      <c r="AE683" s="239"/>
      <c r="AF683" s="239"/>
      <c r="AG683" s="239"/>
      <c r="AH683" s="239"/>
      <c r="AI683" s="239"/>
      <c r="AJ683" s="239"/>
      <c r="AK683" s="239"/>
      <c r="AL683" s="239"/>
      <c r="AM683" s="4"/>
      <c r="AN683" s="4"/>
    </row>
    <row r="684" ht="15.75" customHeight="1">
      <c r="A684" s="4"/>
      <c r="B684" s="4"/>
      <c r="C684" s="12"/>
      <c r="D684" s="4"/>
      <c r="E684" s="4"/>
      <c r="F684" s="4"/>
      <c r="G684" s="4"/>
      <c r="H684" s="4"/>
      <c r="I684" s="237"/>
      <c r="J684" s="238"/>
      <c r="K684" s="238"/>
      <c r="L684" s="239"/>
      <c r="M684" s="239"/>
      <c r="N684" s="239"/>
      <c r="O684" s="240"/>
      <c r="P684" s="238"/>
      <c r="Q684" s="241"/>
      <c r="R684" s="239"/>
      <c r="S684" s="239"/>
      <c r="T684" s="239"/>
      <c r="U684" s="240"/>
      <c r="V684" s="238"/>
      <c r="W684" s="242"/>
      <c r="X684" s="239"/>
      <c r="Y684" s="239"/>
      <c r="Z684" s="239"/>
      <c r="AA684" s="239"/>
      <c r="AB684" s="239"/>
      <c r="AC684" s="239"/>
      <c r="AD684" s="239"/>
      <c r="AE684" s="239"/>
      <c r="AF684" s="239"/>
      <c r="AG684" s="239"/>
      <c r="AH684" s="239"/>
      <c r="AI684" s="239"/>
      <c r="AJ684" s="239"/>
      <c r="AK684" s="239"/>
      <c r="AL684" s="239"/>
      <c r="AM684" s="4"/>
      <c r="AN684" s="4"/>
    </row>
    <row r="685" ht="15.75" customHeight="1">
      <c r="A685" s="4"/>
      <c r="B685" s="4"/>
      <c r="C685" s="12"/>
      <c r="D685" s="4"/>
      <c r="E685" s="4"/>
      <c r="F685" s="4"/>
      <c r="G685" s="4"/>
      <c r="H685" s="4"/>
      <c r="I685" s="237"/>
      <c r="J685" s="238"/>
      <c r="K685" s="238"/>
      <c r="L685" s="239"/>
      <c r="M685" s="239"/>
      <c r="N685" s="239"/>
      <c r="O685" s="240"/>
      <c r="P685" s="238"/>
      <c r="Q685" s="241"/>
      <c r="R685" s="239"/>
      <c r="S685" s="239"/>
      <c r="T685" s="239"/>
      <c r="U685" s="240"/>
      <c r="V685" s="238"/>
      <c r="W685" s="242"/>
      <c r="X685" s="239"/>
      <c r="Y685" s="239"/>
      <c r="Z685" s="239"/>
      <c r="AA685" s="239"/>
      <c r="AB685" s="239"/>
      <c r="AC685" s="239"/>
      <c r="AD685" s="239"/>
      <c r="AE685" s="239"/>
      <c r="AF685" s="239"/>
      <c r="AG685" s="239"/>
      <c r="AH685" s="239"/>
      <c r="AI685" s="239"/>
      <c r="AJ685" s="239"/>
      <c r="AK685" s="239"/>
      <c r="AL685" s="239"/>
      <c r="AM685" s="4"/>
      <c r="AN685" s="4"/>
    </row>
    <row r="686" ht="15.75" customHeight="1">
      <c r="A686" s="4"/>
      <c r="B686" s="4"/>
      <c r="C686" s="12"/>
      <c r="D686" s="4"/>
      <c r="E686" s="4"/>
      <c r="F686" s="4"/>
      <c r="G686" s="4"/>
      <c r="H686" s="4"/>
      <c r="I686" s="237"/>
      <c r="J686" s="238"/>
      <c r="K686" s="238"/>
      <c r="L686" s="239"/>
      <c r="M686" s="239"/>
      <c r="N686" s="239"/>
      <c r="O686" s="240"/>
      <c r="P686" s="238"/>
      <c r="Q686" s="241"/>
      <c r="R686" s="239"/>
      <c r="S686" s="239"/>
      <c r="T686" s="239"/>
      <c r="U686" s="240"/>
      <c r="V686" s="238"/>
      <c r="W686" s="242"/>
      <c r="X686" s="239"/>
      <c r="Y686" s="239"/>
      <c r="Z686" s="239"/>
      <c r="AA686" s="239"/>
      <c r="AB686" s="239"/>
      <c r="AC686" s="239"/>
      <c r="AD686" s="239"/>
      <c r="AE686" s="239"/>
      <c r="AF686" s="239"/>
      <c r="AG686" s="239"/>
      <c r="AH686" s="239"/>
      <c r="AI686" s="239"/>
      <c r="AJ686" s="239"/>
      <c r="AK686" s="239"/>
      <c r="AL686" s="239"/>
      <c r="AM686" s="4"/>
      <c r="AN686" s="4"/>
    </row>
    <row r="687" ht="15.75" customHeight="1">
      <c r="A687" s="4"/>
      <c r="B687" s="4"/>
      <c r="C687" s="12"/>
      <c r="D687" s="4"/>
      <c r="E687" s="4"/>
      <c r="F687" s="4"/>
      <c r="G687" s="4"/>
      <c r="H687" s="4"/>
      <c r="I687" s="237"/>
      <c r="J687" s="238"/>
      <c r="K687" s="238"/>
      <c r="L687" s="239"/>
      <c r="M687" s="239"/>
      <c r="N687" s="239"/>
      <c r="O687" s="240"/>
      <c r="P687" s="238"/>
      <c r="Q687" s="241"/>
      <c r="R687" s="239"/>
      <c r="S687" s="239"/>
      <c r="T687" s="239"/>
      <c r="U687" s="240"/>
      <c r="V687" s="238"/>
      <c r="W687" s="242"/>
      <c r="X687" s="239"/>
      <c r="Y687" s="239"/>
      <c r="Z687" s="239"/>
      <c r="AA687" s="239"/>
      <c r="AB687" s="239"/>
      <c r="AC687" s="239"/>
      <c r="AD687" s="239"/>
      <c r="AE687" s="239"/>
      <c r="AF687" s="239"/>
      <c r="AG687" s="239"/>
      <c r="AH687" s="239"/>
      <c r="AI687" s="239"/>
      <c r="AJ687" s="239"/>
      <c r="AK687" s="239"/>
      <c r="AL687" s="239"/>
      <c r="AM687" s="4"/>
      <c r="AN687" s="4"/>
    </row>
    <row r="688" ht="15.75" customHeight="1">
      <c r="A688" s="4"/>
      <c r="B688" s="4"/>
      <c r="C688" s="12"/>
      <c r="D688" s="4"/>
      <c r="E688" s="4"/>
      <c r="F688" s="4"/>
      <c r="G688" s="4"/>
      <c r="H688" s="4"/>
      <c r="I688" s="237"/>
      <c r="J688" s="238"/>
      <c r="K688" s="238"/>
      <c r="L688" s="239"/>
      <c r="M688" s="239"/>
      <c r="N688" s="239"/>
      <c r="O688" s="240"/>
      <c r="P688" s="238"/>
      <c r="Q688" s="241"/>
      <c r="R688" s="239"/>
      <c r="S688" s="239"/>
      <c r="T688" s="239"/>
      <c r="U688" s="240"/>
      <c r="V688" s="238"/>
      <c r="W688" s="242"/>
      <c r="X688" s="239"/>
      <c r="Y688" s="239"/>
      <c r="Z688" s="239"/>
      <c r="AA688" s="239"/>
      <c r="AB688" s="239"/>
      <c r="AC688" s="239"/>
      <c r="AD688" s="239"/>
      <c r="AE688" s="239"/>
      <c r="AF688" s="239"/>
      <c r="AG688" s="239"/>
      <c r="AH688" s="239"/>
      <c r="AI688" s="239"/>
      <c r="AJ688" s="239"/>
      <c r="AK688" s="239"/>
      <c r="AL688" s="239"/>
      <c r="AM688" s="4"/>
      <c r="AN688" s="4"/>
    </row>
    <row r="689" ht="15.75" customHeight="1">
      <c r="A689" s="4"/>
      <c r="B689" s="4"/>
      <c r="C689" s="12"/>
      <c r="D689" s="4"/>
      <c r="E689" s="4"/>
      <c r="F689" s="4"/>
      <c r="G689" s="4"/>
      <c r="H689" s="4"/>
      <c r="I689" s="237"/>
      <c r="J689" s="238"/>
      <c r="K689" s="238"/>
      <c r="L689" s="239"/>
      <c r="M689" s="239"/>
      <c r="N689" s="239"/>
      <c r="O689" s="240"/>
      <c r="P689" s="238"/>
      <c r="Q689" s="241"/>
      <c r="R689" s="239"/>
      <c r="S689" s="239"/>
      <c r="T689" s="239"/>
      <c r="U689" s="240"/>
      <c r="V689" s="238"/>
      <c r="W689" s="242"/>
      <c r="X689" s="239"/>
      <c r="Y689" s="239"/>
      <c r="Z689" s="239"/>
      <c r="AA689" s="239"/>
      <c r="AB689" s="239"/>
      <c r="AC689" s="239"/>
      <c r="AD689" s="239"/>
      <c r="AE689" s="239"/>
      <c r="AF689" s="239"/>
      <c r="AG689" s="239"/>
      <c r="AH689" s="239"/>
      <c r="AI689" s="239"/>
      <c r="AJ689" s="239"/>
      <c r="AK689" s="239"/>
      <c r="AL689" s="239"/>
      <c r="AM689" s="4"/>
      <c r="AN689" s="4"/>
    </row>
    <row r="690" ht="15.75" customHeight="1">
      <c r="A690" s="4"/>
      <c r="B690" s="4"/>
      <c r="C690" s="12"/>
      <c r="D690" s="4"/>
      <c r="E690" s="4"/>
      <c r="F690" s="4"/>
      <c r="G690" s="4"/>
      <c r="H690" s="4"/>
      <c r="I690" s="237"/>
      <c r="J690" s="238"/>
      <c r="K690" s="238"/>
      <c r="L690" s="239"/>
      <c r="M690" s="239"/>
      <c r="N690" s="239"/>
      <c r="O690" s="240"/>
      <c r="P690" s="238"/>
      <c r="Q690" s="241"/>
      <c r="R690" s="239"/>
      <c r="S690" s="239"/>
      <c r="T690" s="239"/>
      <c r="U690" s="240"/>
      <c r="V690" s="238"/>
      <c r="W690" s="242"/>
      <c r="X690" s="239"/>
      <c r="Y690" s="239"/>
      <c r="Z690" s="239"/>
      <c r="AA690" s="239"/>
      <c r="AB690" s="239"/>
      <c r="AC690" s="239"/>
      <c r="AD690" s="239"/>
      <c r="AE690" s="239"/>
      <c r="AF690" s="239"/>
      <c r="AG690" s="239"/>
      <c r="AH690" s="239"/>
      <c r="AI690" s="239"/>
      <c r="AJ690" s="239"/>
      <c r="AK690" s="239"/>
      <c r="AL690" s="239"/>
      <c r="AM690" s="4"/>
      <c r="AN690" s="4"/>
    </row>
    <row r="691" ht="15.75" customHeight="1">
      <c r="A691" s="4"/>
      <c r="B691" s="4"/>
      <c r="C691" s="12"/>
      <c r="D691" s="4"/>
      <c r="E691" s="4"/>
      <c r="F691" s="4"/>
      <c r="G691" s="4"/>
      <c r="H691" s="4"/>
      <c r="I691" s="237"/>
      <c r="J691" s="238"/>
      <c r="K691" s="238"/>
      <c r="L691" s="239"/>
      <c r="M691" s="239"/>
      <c r="N691" s="239"/>
      <c r="O691" s="240"/>
      <c r="P691" s="238"/>
      <c r="Q691" s="241"/>
      <c r="R691" s="239"/>
      <c r="S691" s="239"/>
      <c r="T691" s="239"/>
      <c r="U691" s="240"/>
      <c r="V691" s="238"/>
      <c r="W691" s="242"/>
      <c r="X691" s="239"/>
      <c r="Y691" s="239"/>
      <c r="Z691" s="239"/>
      <c r="AA691" s="239"/>
      <c r="AB691" s="239"/>
      <c r="AC691" s="239"/>
      <c r="AD691" s="239"/>
      <c r="AE691" s="239"/>
      <c r="AF691" s="239"/>
      <c r="AG691" s="239"/>
      <c r="AH691" s="239"/>
      <c r="AI691" s="239"/>
      <c r="AJ691" s="239"/>
      <c r="AK691" s="239"/>
      <c r="AL691" s="239"/>
      <c r="AM691" s="4"/>
      <c r="AN691" s="4"/>
    </row>
    <row r="692" ht="15.75" customHeight="1">
      <c r="A692" s="4"/>
      <c r="B692" s="4"/>
      <c r="C692" s="12"/>
      <c r="D692" s="4"/>
      <c r="E692" s="4"/>
      <c r="F692" s="4"/>
      <c r="G692" s="4"/>
      <c r="H692" s="4"/>
      <c r="I692" s="237"/>
      <c r="J692" s="238"/>
      <c r="K692" s="238"/>
      <c r="L692" s="239"/>
      <c r="M692" s="239"/>
      <c r="N692" s="239"/>
      <c r="O692" s="240"/>
      <c r="P692" s="238"/>
      <c r="Q692" s="241"/>
      <c r="R692" s="239"/>
      <c r="S692" s="239"/>
      <c r="T692" s="239"/>
      <c r="U692" s="240"/>
      <c r="V692" s="238"/>
      <c r="W692" s="242"/>
      <c r="X692" s="239"/>
      <c r="Y692" s="239"/>
      <c r="Z692" s="239"/>
      <c r="AA692" s="239"/>
      <c r="AB692" s="239"/>
      <c r="AC692" s="239"/>
      <c r="AD692" s="239"/>
      <c r="AE692" s="239"/>
      <c r="AF692" s="239"/>
      <c r="AG692" s="239"/>
      <c r="AH692" s="239"/>
      <c r="AI692" s="239"/>
      <c r="AJ692" s="239"/>
      <c r="AK692" s="239"/>
      <c r="AL692" s="239"/>
      <c r="AM692" s="4"/>
      <c r="AN692" s="4"/>
    </row>
    <row r="693" ht="15.75" customHeight="1">
      <c r="A693" s="4"/>
      <c r="B693" s="4"/>
      <c r="C693" s="12"/>
      <c r="D693" s="4"/>
      <c r="E693" s="4"/>
      <c r="F693" s="4"/>
      <c r="G693" s="4"/>
      <c r="H693" s="4"/>
      <c r="I693" s="237"/>
      <c r="J693" s="238"/>
      <c r="K693" s="238"/>
      <c r="L693" s="239"/>
      <c r="M693" s="239"/>
      <c r="N693" s="239"/>
      <c r="O693" s="240"/>
      <c r="P693" s="238"/>
      <c r="Q693" s="241"/>
      <c r="R693" s="239"/>
      <c r="S693" s="239"/>
      <c r="T693" s="239"/>
      <c r="U693" s="240"/>
      <c r="V693" s="238"/>
      <c r="W693" s="242"/>
      <c r="X693" s="239"/>
      <c r="Y693" s="239"/>
      <c r="Z693" s="239"/>
      <c r="AA693" s="239"/>
      <c r="AB693" s="239"/>
      <c r="AC693" s="239"/>
      <c r="AD693" s="239"/>
      <c r="AE693" s="239"/>
      <c r="AF693" s="239"/>
      <c r="AG693" s="239"/>
      <c r="AH693" s="239"/>
      <c r="AI693" s="239"/>
      <c r="AJ693" s="239"/>
      <c r="AK693" s="239"/>
      <c r="AL693" s="239"/>
      <c r="AM693" s="4"/>
      <c r="AN693" s="4"/>
    </row>
    <row r="694" ht="15.75" customHeight="1">
      <c r="A694" s="4"/>
      <c r="B694" s="4"/>
      <c r="C694" s="12"/>
      <c r="D694" s="4"/>
      <c r="E694" s="4"/>
      <c r="F694" s="4"/>
      <c r="G694" s="4"/>
      <c r="H694" s="4"/>
      <c r="I694" s="237"/>
      <c r="J694" s="238"/>
      <c r="K694" s="238"/>
      <c r="L694" s="239"/>
      <c r="M694" s="239"/>
      <c r="N694" s="239"/>
      <c r="O694" s="240"/>
      <c r="P694" s="238"/>
      <c r="Q694" s="241"/>
      <c r="R694" s="239"/>
      <c r="S694" s="239"/>
      <c r="T694" s="239"/>
      <c r="U694" s="240"/>
      <c r="V694" s="238"/>
      <c r="W694" s="242"/>
      <c r="X694" s="239"/>
      <c r="Y694" s="239"/>
      <c r="Z694" s="239"/>
      <c r="AA694" s="239"/>
      <c r="AB694" s="239"/>
      <c r="AC694" s="239"/>
      <c r="AD694" s="239"/>
      <c r="AE694" s="239"/>
      <c r="AF694" s="239"/>
      <c r="AG694" s="239"/>
      <c r="AH694" s="239"/>
      <c r="AI694" s="239"/>
      <c r="AJ694" s="239"/>
      <c r="AK694" s="239"/>
      <c r="AL694" s="239"/>
      <c r="AM694" s="4"/>
      <c r="AN694" s="4"/>
    </row>
    <row r="695" ht="15.75" customHeight="1">
      <c r="A695" s="4"/>
      <c r="B695" s="4"/>
      <c r="C695" s="12"/>
      <c r="D695" s="4"/>
      <c r="E695" s="4"/>
      <c r="F695" s="4"/>
      <c r="G695" s="4"/>
      <c r="H695" s="4"/>
      <c r="I695" s="237"/>
      <c r="J695" s="238"/>
      <c r="K695" s="238"/>
      <c r="L695" s="239"/>
      <c r="M695" s="239"/>
      <c r="N695" s="239"/>
      <c r="O695" s="240"/>
      <c r="P695" s="238"/>
      <c r="Q695" s="241"/>
      <c r="R695" s="239"/>
      <c r="S695" s="239"/>
      <c r="T695" s="239"/>
      <c r="U695" s="240"/>
      <c r="V695" s="238"/>
      <c r="W695" s="242"/>
      <c r="X695" s="239"/>
      <c r="Y695" s="239"/>
      <c r="Z695" s="239"/>
      <c r="AA695" s="239"/>
      <c r="AB695" s="239"/>
      <c r="AC695" s="239"/>
      <c r="AD695" s="239"/>
      <c r="AE695" s="239"/>
      <c r="AF695" s="239"/>
      <c r="AG695" s="239"/>
      <c r="AH695" s="239"/>
      <c r="AI695" s="239"/>
      <c r="AJ695" s="239"/>
      <c r="AK695" s="239"/>
      <c r="AL695" s="239"/>
      <c r="AM695" s="4"/>
      <c r="AN695" s="4"/>
    </row>
    <row r="696" ht="15.75" customHeight="1">
      <c r="A696" s="4"/>
      <c r="B696" s="4"/>
      <c r="C696" s="12"/>
      <c r="D696" s="4"/>
      <c r="E696" s="4"/>
      <c r="F696" s="4"/>
      <c r="G696" s="4"/>
      <c r="H696" s="4"/>
      <c r="I696" s="237"/>
      <c r="J696" s="238"/>
      <c r="K696" s="238"/>
      <c r="L696" s="239"/>
      <c r="M696" s="239"/>
      <c r="N696" s="239"/>
      <c r="O696" s="240"/>
      <c r="P696" s="238"/>
      <c r="Q696" s="241"/>
      <c r="R696" s="239"/>
      <c r="S696" s="239"/>
      <c r="T696" s="239"/>
      <c r="U696" s="240"/>
      <c r="V696" s="238"/>
      <c r="W696" s="242"/>
      <c r="X696" s="239"/>
      <c r="Y696" s="239"/>
      <c r="Z696" s="239"/>
      <c r="AA696" s="239"/>
      <c r="AB696" s="239"/>
      <c r="AC696" s="239"/>
      <c r="AD696" s="239"/>
      <c r="AE696" s="239"/>
      <c r="AF696" s="239"/>
      <c r="AG696" s="239"/>
      <c r="AH696" s="239"/>
      <c r="AI696" s="239"/>
      <c r="AJ696" s="239"/>
      <c r="AK696" s="239"/>
      <c r="AL696" s="239"/>
      <c r="AM696" s="4"/>
      <c r="AN696" s="4"/>
    </row>
    <row r="697" ht="15.75" customHeight="1">
      <c r="A697" s="4"/>
      <c r="B697" s="4"/>
      <c r="C697" s="12"/>
      <c r="D697" s="4"/>
      <c r="E697" s="4"/>
      <c r="F697" s="4"/>
      <c r="G697" s="4"/>
      <c r="H697" s="4"/>
      <c r="I697" s="237"/>
      <c r="J697" s="238"/>
      <c r="K697" s="238"/>
      <c r="L697" s="239"/>
      <c r="M697" s="239"/>
      <c r="N697" s="239"/>
      <c r="O697" s="240"/>
      <c r="P697" s="238"/>
      <c r="Q697" s="241"/>
      <c r="R697" s="239"/>
      <c r="S697" s="239"/>
      <c r="T697" s="239"/>
      <c r="U697" s="240"/>
      <c r="V697" s="238"/>
      <c r="W697" s="242"/>
      <c r="X697" s="239"/>
      <c r="Y697" s="239"/>
      <c r="Z697" s="239"/>
      <c r="AA697" s="239"/>
      <c r="AB697" s="239"/>
      <c r="AC697" s="239"/>
      <c r="AD697" s="239"/>
      <c r="AE697" s="239"/>
      <c r="AF697" s="239"/>
      <c r="AG697" s="239"/>
      <c r="AH697" s="239"/>
      <c r="AI697" s="239"/>
      <c r="AJ697" s="239"/>
      <c r="AK697" s="239"/>
      <c r="AL697" s="239"/>
      <c r="AM697" s="4"/>
      <c r="AN697" s="4"/>
    </row>
    <row r="698" ht="15.75" customHeight="1">
      <c r="A698" s="4"/>
      <c r="B698" s="4"/>
      <c r="C698" s="12"/>
      <c r="D698" s="4"/>
      <c r="E698" s="4"/>
      <c r="F698" s="4"/>
      <c r="G698" s="4"/>
      <c r="H698" s="4"/>
      <c r="I698" s="237"/>
      <c r="J698" s="238"/>
      <c r="K698" s="238"/>
      <c r="L698" s="239"/>
      <c r="M698" s="239"/>
      <c r="N698" s="239"/>
      <c r="O698" s="240"/>
      <c r="P698" s="238"/>
      <c r="Q698" s="241"/>
      <c r="R698" s="239"/>
      <c r="S698" s="239"/>
      <c r="T698" s="239"/>
      <c r="U698" s="240"/>
      <c r="V698" s="238"/>
      <c r="W698" s="242"/>
      <c r="X698" s="239"/>
      <c r="Y698" s="239"/>
      <c r="Z698" s="239"/>
      <c r="AA698" s="239"/>
      <c r="AB698" s="239"/>
      <c r="AC698" s="239"/>
      <c r="AD698" s="239"/>
      <c r="AE698" s="239"/>
      <c r="AF698" s="239"/>
      <c r="AG698" s="239"/>
      <c r="AH698" s="239"/>
      <c r="AI698" s="239"/>
      <c r="AJ698" s="239"/>
      <c r="AK698" s="239"/>
      <c r="AL698" s="239"/>
      <c r="AM698" s="4"/>
      <c r="AN698" s="4"/>
    </row>
    <row r="699" ht="15.75" customHeight="1">
      <c r="A699" s="4"/>
      <c r="B699" s="4"/>
      <c r="C699" s="12"/>
      <c r="D699" s="4"/>
      <c r="E699" s="4"/>
      <c r="F699" s="4"/>
      <c r="G699" s="4"/>
      <c r="H699" s="4"/>
      <c r="I699" s="237"/>
      <c r="J699" s="238"/>
      <c r="K699" s="238"/>
      <c r="L699" s="239"/>
      <c r="M699" s="239"/>
      <c r="N699" s="239"/>
      <c r="O699" s="240"/>
      <c r="P699" s="238"/>
      <c r="Q699" s="241"/>
      <c r="R699" s="239"/>
      <c r="S699" s="239"/>
      <c r="T699" s="239"/>
      <c r="U699" s="240"/>
      <c r="V699" s="238"/>
      <c r="W699" s="242"/>
      <c r="X699" s="239"/>
      <c r="Y699" s="239"/>
      <c r="Z699" s="239"/>
      <c r="AA699" s="239"/>
      <c r="AB699" s="239"/>
      <c r="AC699" s="239"/>
      <c r="AD699" s="239"/>
      <c r="AE699" s="239"/>
      <c r="AF699" s="239"/>
      <c r="AG699" s="239"/>
      <c r="AH699" s="239"/>
      <c r="AI699" s="239"/>
      <c r="AJ699" s="239"/>
      <c r="AK699" s="239"/>
      <c r="AL699" s="239"/>
      <c r="AM699" s="4"/>
      <c r="AN699" s="4"/>
    </row>
    <row r="700" ht="15.75" customHeight="1">
      <c r="A700" s="4"/>
      <c r="B700" s="4"/>
      <c r="C700" s="12"/>
      <c r="D700" s="4"/>
      <c r="E700" s="4"/>
      <c r="F700" s="4"/>
      <c r="G700" s="4"/>
      <c r="H700" s="4"/>
      <c r="I700" s="237"/>
      <c r="J700" s="238"/>
      <c r="K700" s="238"/>
      <c r="L700" s="239"/>
      <c r="M700" s="239"/>
      <c r="N700" s="239"/>
      <c r="O700" s="240"/>
      <c r="P700" s="238"/>
      <c r="Q700" s="241"/>
      <c r="R700" s="239"/>
      <c r="S700" s="239"/>
      <c r="T700" s="239"/>
      <c r="U700" s="240"/>
      <c r="V700" s="238"/>
      <c r="W700" s="242"/>
      <c r="X700" s="239"/>
      <c r="Y700" s="239"/>
      <c r="Z700" s="239"/>
      <c r="AA700" s="239"/>
      <c r="AB700" s="239"/>
      <c r="AC700" s="239"/>
      <c r="AD700" s="239"/>
      <c r="AE700" s="239"/>
      <c r="AF700" s="239"/>
      <c r="AG700" s="239"/>
      <c r="AH700" s="239"/>
      <c r="AI700" s="239"/>
      <c r="AJ700" s="239"/>
      <c r="AK700" s="239"/>
      <c r="AL700" s="239"/>
      <c r="AM700" s="4"/>
      <c r="AN700" s="4"/>
    </row>
    <row r="701" ht="15.75" customHeight="1">
      <c r="A701" s="4"/>
      <c r="B701" s="4"/>
      <c r="C701" s="12"/>
      <c r="D701" s="4"/>
      <c r="E701" s="4"/>
      <c r="F701" s="4"/>
      <c r="G701" s="4"/>
      <c r="H701" s="4"/>
      <c r="I701" s="237"/>
      <c r="J701" s="238"/>
      <c r="K701" s="238"/>
      <c r="L701" s="239"/>
      <c r="M701" s="239"/>
      <c r="N701" s="239"/>
      <c r="O701" s="240"/>
      <c r="P701" s="238"/>
      <c r="Q701" s="241"/>
      <c r="R701" s="239"/>
      <c r="S701" s="239"/>
      <c r="T701" s="239"/>
      <c r="U701" s="240"/>
      <c r="V701" s="238"/>
      <c r="W701" s="242"/>
      <c r="X701" s="239"/>
      <c r="Y701" s="239"/>
      <c r="Z701" s="239"/>
      <c r="AA701" s="239"/>
      <c r="AB701" s="239"/>
      <c r="AC701" s="239"/>
      <c r="AD701" s="239"/>
      <c r="AE701" s="239"/>
      <c r="AF701" s="239"/>
      <c r="AG701" s="239"/>
      <c r="AH701" s="239"/>
      <c r="AI701" s="239"/>
      <c r="AJ701" s="239"/>
      <c r="AK701" s="239"/>
      <c r="AL701" s="239"/>
      <c r="AM701" s="4"/>
      <c r="AN701" s="4"/>
    </row>
    <row r="702" ht="15.75" customHeight="1">
      <c r="A702" s="4"/>
      <c r="B702" s="4"/>
      <c r="C702" s="12"/>
      <c r="D702" s="4"/>
      <c r="E702" s="4"/>
      <c r="F702" s="4"/>
      <c r="G702" s="4"/>
      <c r="H702" s="4"/>
      <c r="I702" s="237"/>
      <c r="J702" s="238"/>
      <c r="K702" s="238"/>
      <c r="L702" s="239"/>
      <c r="M702" s="239"/>
      <c r="N702" s="239"/>
      <c r="O702" s="240"/>
      <c r="P702" s="238"/>
      <c r="Q702" s="241"/>
      <c r="R702" s="239"/>
      <c r="S702" s="239"/>
      <c r="T702" s="239"/>
      <c r="U702" s="240"/>
      <c r="V702" s="238"/>
      <c r="W702" s="242"/>
      <c r="X702" s="239"/>
      <c r="Y702" s="239"/>
      <c r="Z702" s="239"/>
      <c r="AA702" s="239"/>
      <c r="AB702" s="239"/>
      <c r="AC702" s="239"/>
      <c r="AD702" s="239"/>
      <c r="AE702" s="239"/>
      <c r="AF702" s="239"/>
      <c r="AG702" s="239"/>
      <c r="AH702" s="239"/>
      <c r="AI702" s="239"/>
      <c r="AJ702" s="239"/>
      <c r="AK702" s="239"/>
      <c r="AL702" s="239"/>
      <c r="AM702" s="4"/>
      <c r="AN702" s="4"/>
    </row>
    <row r="703" ht="15.75" customHeight="1">
      <c r="A703" s="4"/>
      <c r="B703" s="4"/>
      <c r="C703" s="12"/>
      <c r="D703" s="4"/>
      <c r="E703" s="4"/>
      <c r="F703" s="4"/>
      <c r="G703" s="4"/>
      <c r="H703" s="4"/>
      <c r="I703" s="237"/>
      <c r="J703" s="238"/>
      <c r="K703" s="238"/>
      <c r="L703" s="239"/>
      <c r="M703" s="239"/>
      <c r="N703" s="239"/>
      <c r="O703" s="240"/>
      <c r="P703" s="238"/>
      <c r="Q703" s="241"/>
      <c r="R703" s="239"/>
      <c r="S703" s="239"/>
      <c r="T703" s="239"/>
      <c r="U703" s="240"/>
      <c r="V703" s="238"/>
      <c r="W703" s="242"/>
      <c r="X703" s="239"/>
      <c r="Y703" s="239"/>
      <c r="Z703" s="239"/>
      <c r="AA703" s="239"/>
      <c r="AB703" s="239"/>
      <c r="AC703" s="239"/>
      <c r="AD703" s="239"/>
      <c r="AE703" s="239"/>
      <c r="AF703" s="239"/>
      <c r="AG703" s="239"/>
      <c r="AH703" s="239"/>
      <c r="AI703" s="239"/>
      <c r="AJ703" s="239"/>
      <c r="AK703" s="239"/>
      <c r="AL703" s="239"/>
      <c r="AM703" s="4"/>
      <c r="AN703" s="4"/>
    </row>
    <row r="704" ht="15.75" customHeight="1">
      <c r="A704" s="4"/>
      <c r="B704" s="4"/>
      <c r="C704" s="12"/>
      <c r="D704" s="4"/>
      <c r="E704" s="4"/>
      <c r="F704" s="4"/>
      <c r="G704" s="4"/>
      <c r="H704" s="4"/>
      <c r="I704" s="237"/>
      <c r="J704" s="238"/>
      <c r="K704" s="238"/>
      <c r="L704" s="239"/>
      <c r="M704" s="239"/>
      <c r="N704" s="239"/>
      <c r="O704" s="240"/>
      <c r="P704" s="238"/>
      <c r="Q704" s="241"/>
      <c r="R704" s="239"/>
      <c r="S704" s="239"/>
      <c r="T704" s="239"/>
      <c r="U704" s="240"/>
      <c r="V704" s="238"/>
      <c r="W704" s="242"/>
      <c r="X704" s="239"/>
      <c r="Y704" s="239"/>
      <c r="Z704" s="239"/>
      <c r="AA704" s="239"/>
      <c r="AB704" s="239"/>
      <c r="AC704" s="239"/>
      <c r="AD704" s="239"/>
      <c r="AE704" s="239"/>
      <c r="AF704" s="239"/>
      <c r="AG704" s="239"/>
      <c r="AH704" s="239"/>
      <c r="AI704" s="239"/>
      <c r="AJ704" s="239"/>
      <c r="AK704" s="239"/>
      <c r="AL704" s="239"/>
      <c r="AM704" s="4"/>
      <c r="AN704" s="4"/>
    </row>
    <row r="705" ht="15.75" customHeight="1">
      <c r="A705" s="4"/>
      <c r="B705" s="4"/>
      <c r="C705" s="12"/>
      <c r="D705" s="4"/>
      <c r="E705" s="4"/>
      <c r="F705" s="4"/>
      <c r="G705" s="4"/>
      <c r="H705" s="4"/>
      <c r="I705" s="237"/>
      <c r="J705" s="238"/>
      <c r="K705" s="238"/>
      <c r="L705" s="239"/>
      <c r="M705" s="239"/>
      <c r="N705" s="239"/>
      <c r="O705" s="240"/>
      <c r="P705" s="238"/>
      <c r="Q705" s="241"/>
      <c r="R705" s="239"/>
      <c r="S705" s="239"/>
      <c r="T705" s="239"/>
      <c r="U705" s="240"/>
      <c r="V705" s="238"/>
      <c r="W705" s="242"/>
      <c r="X705" s="239"/>
      <c r="Y705" s="239"/>
      <c r="Z705" s="239"/>
      <c r="AA705" s="239"/>
      <c r="AB705" s="239"/>
      <c r="AC705" s="239"/>
      <c r="AD705" s="239"/>
      <c r="AE705" s="239"/>
      <c r="AF705" s="239"/>
      <c r="AG705" s="239"/>
      <c r="AH705" s="239"/>
      <c r="AI705" s="239"/>
      <c r="AJ705" s="239"/>
      <c r="AK705" s="239"/>
      <c r="AL705" s="239"/>
      <c r="AM705" s="4"/>
      <c r="AN705" s="4"/>
    </row>
    <row r="706" ht="15.75" customHeight="1">
      <c r="A706" s="4"/>
      <c r="B706" s="4"/>
      <c r="C706" s="12"/>
      <c r="D706" s="4"/>
      <c r="E706" s="4"/>
      <c r="F706" s="4"/>
      <c r="G706" s="4"/>
      <c r="H706" s="4"/>
      <c r="I706" s="237"/>
      <c r="J706" s="238"/>
      <c r="K706" s="238"/>
      <c r="L706" s="239"/>
      <c r="M706" s="239"/>
      <c r="N706" s="239"/>
      <c r="O706" s="240"/>
      <c r="P706" s="238"/>
      <c r="Q706" s="241"/>
      <c r="R706" s="239"/>
      <c r="S706" s="239"/>
      <c r="T706" s="239"/>
      <c r="U706" s="240"/>
      <c r="V706" s="238"/>
      <c r="W706" s="242"/>
      <c r="X706" s="239"/>
      <c r="Y706" s="239"/>
      <c r="Z706" s="239"/>
      <c r="AA706" s="239"/>
      <c r="AB706" s="239"/>
      <c r="AC706" s="239"/>
      <c r="AD706" s="239"/>
      <c r="AE706" s="239"/>
      <c r="AF706" s="239"/>
      <c r="AG706" s="239"/>
      <c r="AH706" s="239"/>
      <c r="AI706" s="239"/>
      <c r="AJ706" s="239"/>
      <c r="AK706" s="239"/>
      <c r="AL706" s="239"/>
      <c r="AM706" s="4"/>
      <c r="AN706" s="4"/>
    </row>
    <row r="707" ht="15.75" customHeight="1">
      <c r="A707" s="4"/>
      <c r="B707" s="4"/>
      <c r="C707" s="12"/>
      <c r="D707" s="4"/>
      <c r="E707" s="4"/>
      <c r="F707" s="4"/>
      <c r="G707" s="4"/>
      <c r="H707" s="4"/>
      <c r="I707" s="237"/>
      <c r="J707" s="238"/>
      <c r="K707" s="238"/>
      <c r="L707" s="239"/>
      <c r="M707" s="239"/>
      <c r="N707" s="239"/>
      <c r="O707" s="240"/>
      <c r="P707" s="238"/>
      <c r="Q707" s="241"/>
      <c r="R707" s="239"/>
      <c r="S707" s="239"/>
      <c r="T707" s="239"/>
      <c r="U707" s="240"/>
      <c r="V707" s="238"/>
      <c r="W707" s="242"/>
      <c r="X707" s="239"/>
      <c r="Y707" s="239"/>
      <c r="Z707" s="239"/>
      <c r="AA707" s="239"/>
      <c r="AB707" s="239"/>
      <c r="AC707" s="239"/>
      <c r="AD707" s="239"/>
      <c r="AE707" s="239"/>
      <c r="AF707" s="239"/>
      <c r="AG707" s="239"/>
      <c r="AH707" s="239"/>
      <c r="AI707" s="239"/>
      <c r="AJ707" s="239"/>
      <c r="AK707" s="239"/>
      <c r="AL707" s="239"/>
      <c r="AM707" s="4"/>
      <c r="AN707" s="4"/>
    </row>
    <row r="708" ht="15.75" customHeight="1">
      <c r="A708" s="4"/>
      <c r="B708" s="4"/>
      <c r="C708" s="12"/>
      <c r="D708" s="4"/>
      <c r="E708" s="4"/>
      <c r="F708" s="4"/>
      <c r="G708" s="4"/>
      <c r="H708" s="4"/>
      <c r="I708" s="237"/>
      <c r="J708" s="238"/>
      <c r="K708" s="238"/>
      <c r="L708" s="239"/>
      <c r="M708" s="239"/>
      <c r="N708" s="239"/>
      <c r="O708" s="240"/>
      <c r="P708" s="238"/>
      <c r="Q708" s="241"/>
      <c r="R708" s="239"/>
      <c r="S708" s="239"/>
      <c r="T708" s="239"/>
      <c r="U708" s="240"/>
      <c r="V708" s="238"/>
      <c r="W708" s="242"/>
      <c r="X708" s="239"/>
      <c r="Y708" s="239"/>
      <c r="Z708" s="239"/>
      <c r="AA708" s="239"/>
      <c r="AB708" s="239"/>
      <c r="AC708" s="239"/>
      <c r="AD708" s="239"/>
      <c r="AE708" s="239"/>
      <c r="AF708" s="239"/>
      <c r="AG708" s="239"/>
      <c r="AH708" s="239"/>
      <c r="AI708" s="239"/>
      <c r="AJ708" s="239"/>
      <c r="AK708" s="239"/>
      <c r="AL708" s="239"/>
      <c r="AM708" s="4"/>
      <c r="AN708" s="4"/>
    </row>
    <row r="709" ht="15.75" customHeight="1">
      <c r="A709" s="4"/>
      <c r="B709" s="4"/>
      <c r="C709" s="12"/>
      <c r="D709" s="4"/>
      <c r="E709" s="4"/>
      <c r="F709" s="4"/>
      <c r="G709" s="4"/>
      <c r="H709" s="4"/>
      <c r="I709" s="237"/>
      <c r="J709" s="238"/>
      <c r="K709" s="238"/>
      <c r="L709" s="239"/>
      <c r="M709" s="239"/>
      <c r="N709" s="239"/>
      <c r="O709" s="240"/>
      <c r="P709" s="238"/>
      <c r="Q709" s="241"/>
      <c r="R709" s="239"/>
      <c r="S709" s="239"/>
      <c r="T709" s="239"/>
      <c r="U709" s="240"/>
      <c r="V709" s="238"/>
      <c r="W709" s="242"/>
      <c r="X709" s="239"/>
      <c r="Y709" s="239"/>
      <c r="Z709" s="239"/>
      <c r="AA709" s="239"/>
      <c r="AB709" s="239"/>
      <c r="AC709" s="239"/>
      <c r="AD709" s="239"/>
      <c r="AE709" s="239"/>
      <c r="AF709" s="239"/>
      <c r="AG709" s="239"/>
      <c r="AH709" s="239"/>
      <c r="AI709" s="239"/>
      <c r="AJ709" s="239"/>
      <c r="AK709" s="239"/>
      <c r="AL709" s="239"/>
      <c r="AM709" s="4"/>
      <c r="AN709" s="4"/>
    </row>
    <row r="710" ht="15.75" customHeight="1">
      <c r="A710" s="4"/>
      <c r="B710" s="4"/>
      <c r="C710" s="12"/>
      <c r="D710" s="4"/>
      <c r="E710" s="4"/>
      <c r="F710" s="4"/>
      <c r="G710" s="4"/>
      <c r="H710" s="4"/>
      <c r="I710" s="237"/>
      <c r="J710" s="238"/>
      <c r="K710" s="238"/>
      <c r="L710" s="239"/>
      <c r="M710" s="239"/>
      <c r="N710" s="239"/>
      <c r="O710" s="240"/>
      <c r="P710" s="238"/>
      <c r="Q710" s="241"/>
      <c r="R710" s="239"/>
      <c r="S710" s="239"/>
      <c r="T710" s="239"/>
      <c r="U710" s="240"/>
      <c r="V710" s="238"/>
      <c r="W710" s="242"/>
      <c r="X710" s="239"/>
      <c r="Y710" s="239"/>
      <c r="Z710" s="239"/>
      <c r="AA710" s="239"/>
      <c r="AB710" s="239"/>
      <c r="AC710" s="239"/>
      <c r="AD710" s="239"/>
      <c r="AE710" s="239"/>
      <c r="AF710" s="239"/>
      <c r="AG710" s="239"/>
      <c r="AH710" s="239"/>
      <c r="AI710" s="239"/>
      <c r="AJ710" s="239"/>
      <c r="AK710" s="239"/>
      <c r="AL710" s="239"/>
      <c r="AM710" s="4"/>
      <c r="AN710" s="4"/>
    </row>
    <row r="711" ht="15.75" customHeight="1">
      <c r="A711" s="4"/>
      <c r="B711" s="4"/>
      <c r="C711" s="12"/>
      <c r="D711" s="4"/>
      <c r="E711" s="4"/>
      <c r="F711" s="4"/>
      <c r="G711" s="4"/>
      <c r="H711" s="4"/>
      <c r="I711" s="237"/>
      <c r="J711" s="238"/>
      <c r="K711" s="238"/>
      <c r="L711" s="239"/>
      <c r="M711" s="239"/>
      <c r="N711" s="239"/>
      <c r="O711" s="240"/>
      <c r="P711" s="238"/>
      <c r="Q711" s="241"/>
      <c r="R711" s="239"/>
      <c r="S711" s="239"/>
      <c r="T711" s="239"/>
      <c r="U711" s="240"/>
      <c r="V711" s="238"/>
      <c r="W711" s="242"/>
      <c r="X711" s="239"/>
      <c r="Y711" s="239"/>
      <c r="Z711" s="239"/>
      <c r="AA711" s="239"/>
      <c r="AB711" s="239"/>
      <c r="AC711" s="239"/>
      <c r="AD711" s="239"/>
      <c r="AE711" s="239"/>
      <c r="AF711" s="239"/>
      <c r="AG711" s="239"/>
      <c r="AH711" s="239"/>
      <c r="AI711" s="239"/>
      <c r="AJ711" s="239"/>
      <c r="AK711" s="239"/>
      <c r="AL711" s="239"/>
      <c r="AM711" s="4"/>
      <c r="AN711" s="4"/>
    </row>
    <row r="712" ht="15.75" customHeight="1">
      <c r="A712" s="4"/>
      <c r="B712" s="4"/>
      <c r="C712" s="12"/>
      <c r="D712" s="4"/>
      <c r="E712" s="4"/>
      <c r="F712" s="4"/>
      <c r="G712" s="4"/>
      <c r="H712" s="4"/>
      <c r="I712" s="237"/>
      <c r="J712" s="238"/>
      <c r="K712" s="238"/>
      <c r="L712" s="239"/>
      <c r="M712" s="239"/>
      <c r="N712" s="239"/>
      <c r="O712" s="240"/>
      <c r="P712" s="238"/>
      <c r="Q712" s="241"/>
      <c r="R712" s="239"/>
      <c r="S712" s="239"/>
      <c r="T712" s="239"/>
      <c r="U712" s="240"/>
      <c r="V712" s="238"/>
      <c r="W712" s="242"/>
      <c r="X712" s="239"/>
      <c r="Y712" s="239"/>
      <c r="Z712" s="239"/>
      <c r="AA712" s="239"/>
      <c r="AB712" s="239"/>
      <c r="AC712" s="239"/>
      <c r="AD712" s="239"/>
      <c r="AE712" s="239"/>
      <c r="AF712" s="239"/>
      <c r="AG712" s="239"/>
      <c r="AH712" s="239"/>
      <c r="AI712" s="239"/>
      <c r="AJ712" s="239"/>
      <c r="AK712" s="239"/>
      <c r="AL712" s="239"/>
      <c r="AM712" s="4"/>
      <c r="AN712" s="4"/>
    </row>
    <row r="713" ht="15.75" customHeight="1">
      <c r="A713" s="4"/>
      <c r="B713" s="4"/>
      <c r="C713" s="12"/>
      <c r="D713" s="4"/>
      <c r="E713" s="4"/>
      <c r="F713" s="4"/>
      <c r="G713" s="4"/>
      <c r="H713" s="4"/>
      <c r="I713" s="237"/>
      <c r="J713" s="238"/>
      <c r="K713" s="238"/>
      <c r="L713" s="239"/>
      <c r="M713" s="239"/>
      <c r="N713" s="239"/>
      <c r="O713" s="240"/>
      <c r="P713" s="238"/>
      <c r="Q713" s="241"/>
      <c r="R713" s="239"/>
      <c r="S713" s="239"/>
      <c r="T713" s="239"/>
      <c r="U713" s="240"/>
      <c r="V713" s="238"/>
      <c r="W713" s="242"/>
      <c r="X713" s="239"/>
      <c r="Y713" s="239"/>
      <c r="Z713" s="239"/>
      <c r="AA713" s="239"/>
      <c r="AB713" s="239"/>
      <c r="AC713" s="239"/>
      <c r="AD713" s="239"/>
      <c r="AE713" s="239"/>
      <c r="AF713" s="239"/>
      <c r="AG713" s="239"/>
      <c r="AH713" s="239"/>
      <c r="AI713" s="239"/>
      <c r="AJ713" s="239"/>
      <c r="AK713" s="239"/>
      <c r="AL713" s="239"/>
      <c r="AM713" s="4"/>
      <c r="AN713" s="4"/>
    </row>
    <row r="714" ht="15.75" customHeight="1">
      <c r="A714" s="4"/>
      <c r="B714" s="4"/>
      <c r="C714" s="12"/>
      <c r="D714" s="4"/>
      <c r="E714" s="4"/>
      <c r="F714" s="4"/>
      <c r="G714" s="4"/>
      <c r="H714" s="4"/>
      <c r="I714" s="237"/>
      <c r="J714" s="238"/>
      <c r="K714" s="238"/>
      <c r="L714" s="239"/>
      <c r="M714" s="239"/>
      <c r="N714" s="239"/>
      <c r="O714" s="240"/>
      <c r="P714" s="238"/>
      <c r="Q714" s="241"/>
      <c r="R714" s="239"/>
      <c r="S714" s="239"/>
      <c r="T714" s="239"/>
      <c r="U714" s="240"/>
      <c r="V714" s="238"/>
      <c r="W714" s="242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  <c r="AK714" s="239"/>
      <c r="AL714" s="239"/>
      <c r="AM714" s="4"/>
      <c r="AN714" s="4"/>
    </row>
    <row r="715" ht="15.75" customHeight="1">
      <c r="A715" s="4"/>
      <c r="B715" s="4"/>
      <c r="C715" s="12"/>
      <c r="D715" s="4"/>
      <c r="E715" s="4"/>
      <c r="F715" s="4"/>
      <c r="G715" s="4"/>
      <c r="H715" s="4"/>
      <c r="I715" s="237"/>
      <c r="J715" s="238"/>
      <c r="K715" s="238"/>
      <c r="L715" s="239"/>
      <c r="M715" s="239"/>
      <c r="N715" s="239"/>
      <c r="O715" s="240"/>
      <c r="P715" s="238"/>
      <c r="Q715" s="241"/>
      <c r="R715" s="239"/>
      <c r="S715" s="239"/>
      <c r="T715" s="239"/>
      <c r="U715" s="240"/>
      <c r="V715" s="238"/>
      <c r="W715" s="242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  <c r="AK715" s="239"/>
      <c r="AL715" s="239"/>
      <c r="AM715" s="4"/>
      <c r="AN715" s="4"/>
    </row>
    <row r="716" ht="15.75" customHeight="1">
      <c r="A716" s="4"/>
      <c r="B716" s="4"/>
      <c r="C716" s="12"/>
      <c r="D716" s="4"/>
      <c r="E716" s="4"/>
      <c r="F716" s="4"/>
      <c r="G716" s="4"/>
      <c r="H716" s="4"/>
      <c r="I716" s="237"/>
      <c r="J716" s="238"/>
      <c r="K716" s="238"/>
      <c r="L716" s="239"/>
      <c r="M716" s="239"/>
      <c r="N716" s="239"/>
      <c r="O716" s="240"/>
      <c r="P716" s="238"/>
      <c r="Q716" s="241"/>
      <c r="R716" s="239"/>
      <c r="S716" s="239"/>
      <c r="T716" s="239"/>
      <c r="U716" s="240"/>
      <c r="V716" s="238"/>
      <c r="W716" s="242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  <c r="AK716" s="239"/>
      <c r="AL716" s="239"/>
      <c r="AM716" s="4"/>
      <c r="AN716" s="4"/>
    </row>
    <row r="717" ht="15.75" customHeight="1">
      <c r="A717" s="4"/>
      <c r="B717" s="4"/>
      <c r="C717" s="12"/>
      <c r="D717" s="4"/>
      <c r="E717" s="4"/>
      <c r="F717" s="4"/>
      <c r="G717" s="4"/>
      <c r="H717" s="4"/>
      <c r="I717" s="237"/>
      <c r="J717" s="238"/>
      <c r="K717" s="238"/>
      <c r="L717" s="239"/>
      <c r="M717" s="239"/>
      <c r="N717" s="239"/>
      <c r="O717" s="240"/>
      <c r="P717" s="238"/>
      <c r="Q717" s="241"/>
      <c r="R717" s="239"/>
      <c r="S717" s="239"/>
      <c r="T717" s="239"/>
      <c r="U717" s="240"/>
      <c r="V717" s="238"/>
      <c r="W717" s="242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  <c r="AK717" s="239"/>
      <c r="AL717" s="239"/>
      <c r="AM717" s="4"/>
      <c r="AN717" s="4"/>
    </row>
    <row r="718" ht="15.75" customHeight="1">
      <c r="A718" s="4"/>
      <c r="B718" s="4"/>
      <c r="C718" s="12"/>
      <c r="D718" s="4"/>
      <c r="E718" s="4"/>
      <c r="F718" s="4"/>
      <c r="G718" s="4"/>
      <c r="H718" s="4"/>
      <c r="I718" s="237"/>
      <c r="J718" s="238"/>
      <c r="K718" s="238"/>
      <c r="L718" s="239"/>
      <c r="M718" s="239"/>
      <c r="N718" s="239"/>
      <c r="O718" s="240"/>
      <c r="P718" s="238"/>
      <c r="Q718" s="241"/>
      <c r="R718" s="239"/>
      <c r="S718" s="239"/>
      <c r="T718" s="239"/>
      <c r="U718" s="240"/>
      <c r="V718" s="238"/>
      <c r="W718" s="242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  <c r="AK718" s="239"/>
      <c r="AL718" s="239"/>
      <c r="AM718" s="4"/>
      <c r="AN718" s="4"/>
    </row>
    <row r="719" ht="15.75" customHeight="1">
      <c r="A719" s="4"/>
      <c r="B719" s="4"/>
      <c r="C719" s="12"/>
      <c r="D719" s="4"/>
      <c r="E719" s="4"/>
      <c r="F719" s="4"/>
      <c r="G719" s="4"/>
      <c r="H719" s="4"/>
      <c r="I719" s="237"/>
      <c r="J719" s="238"/>
      <c r="K719" s="238"/>
      <c r="L719" s="239"/>
      <c r="M719" s="239"/>
      <c r="N719" s="239"/>
      <c r="O719" s="240"/>
      <c r="P719" s="238"/>
      <c r="Q719" s="241"/>
      <c r="R719" s="239"/>
      <c r="S719" s="239"/>
      <c r="T719" s="239"/>
      <c r="U719" s="240"/>
      <c r="V719" s="238"/>
      <c r="W719" s="242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  <c r="AK719" s="239"/>
      <c r="AL719" s="239"/>
      <c r="AM719" s="4"/>
      <c r="AN719" s="4"/>
    </row>
    <row r="720" ht="15.75" customHeight="1">
      <c r="A720" s="4"/>
      <c r="B720" s="4"/>
      <c r="C720" s="12"/>
      <c r="D720" s="4"/>
      <c r="E720" s="4"/>
      <c r="F720" s="4"/>
      <c r="G720" s="4"/>
      <c r="H720" s="4"/>
      <c r="I720" s="237"/>
      <c r="J720" s="238"/>
      <c r="K720" s="238"/>
      <c r="L720" s="239"/>
      <c r="M720" s="239"/>
      <c r="N720" s="239"/>
      <c r="O720" s="240"/>
      <c r="P720" s="238"/>
      <c r="Q720" s="241"/>
      <c r="R720" s="239"/>
      <c r="S720" s="239"/>
      <c r="T720" s="239"/>
      <c r="U720" s="240"/>
      <c r="V720" s="238"/>
      <c r="W720" s="242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  <c r="AK720" s="239"/>
      <c r="AL720" s="239"/>
      <c r="AM720" s="4"/>
      <c r="AN720" s="4"/>
    </row>
    <row r="721" ht="15.75" customHeight="1">
      <c r="A721" s="4"/>
      <c r="B721" s="4"/>
      <c r="C721" s="12"/>
      <c r="D721" s="4"/>
      <c r="E721" s="4"/>
      <c r="F721" s="4"/>
      <c r="G721" s="4"/>
      <c r="H721" s="4"/>
      <c r="I721" s="237"/>
      <c r="J721" s="238"/>
      <c r="K721" s="238"/>
      <c r="L721" s="239"/>
      <c r="M721" s="239"/>
      <c r="N721" s="239"/>
      <c r="O721" s="240"/>
      <c r="P721" s="238"/>
      <c r="Q721" s="241"/>
      <c r="R721" s="239"/>
      <c r="S721" s="239"/>
      <c r="T721" s="239"/>
      <c r="U721" s="240"/>
      <c r="V721" s="238"/>
      <c r="W721" s="242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  <c r="AK721" s="239"/>
      <c r="AL721" s="239"/>
      <c r="AM721" s="4"/>
      <c r="AN721" s="4"/>
    </row>
    <row r="722" ht="15.75" customHeight="1">
      <c r="A722" s="4"/>
      <c r="B722" s="4"/>
      <c r="C722" s="12"/>
      <c r="D722" s="4"/>
      <c r="E722" s="4"/>
      <c r="F722" s="4"/>
      <c r="G722" s="4"/>
      <c r="H722" s="4"/>
      <c r="I722" s="237"/>
      <c r="J722" s="238"/>
      <c r="K722" s="238"/>
      <c r="L722" s="239"/>
      <c r="M722" s="239"/>
      <c r="N722" s="239"/>
      <c r="O722" s="240"/>
      <c r="P722" s="238"/>
      <c r="Q722" s="241"/>
      <c r="R722" s="239"/>
      <c r="S722" s="239"/>
      <c r="T722" s="239"/>
      <c r="U722" s="240"/>
      <c r="V722" s="238"/>
      <c r="W722" s="242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  <c r="AK722" s="239"/>
      <c r="AL722" s="239"/>
      <c r="AM722" s="4"/>
      <c r="AN722" s="4"/>
    </row>
    <row r="723" ht="15.75" customHeight="1">
      <c r="A723" s="4"/>
      <c r="B723" s="4"/>
      <c r="C723" s="12"/>
      <c r="D723" s="4"/>
      <c r="E723" s="4"/>
      <c r="F723" s="4"/>
      <c r="G723" s="4"/>
      <c r="H723" s="4"/>
      <c r="I723" s="237"/>
      <c r="J723" s="238"/>
      <c r="K723" s="238"/>
      <c r="L723" s="239"/>
      <c r="M723" s="239"/>
      <c r="N723" s="239"/>
      <c r="O723" s="240"/>
      <c r="P723" s="238"/>
      <c r="Q723" s="241"/>
      <c r="R723" s="239"/>
      <c r="S723" s="239"/>
      <c r="T723" s="239"/>
      <c r="U723" s="240"/>
      <c r="V723" s="238"/>
      <c r="W723" s="242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  <c r="AK723" s="239"/>
      <c r="AL723" s="239"/>
      <c r="AM723" s="4"/>
      <c r="AN723" s="4"/>
    </row>
    <row r="724" ht="15.75" customHeight="1">
      <c r="A724" s="4"/>
      <c r="B724" s="4"/>
      <c r="C724" s="12"/>
      <c r="D724" s="4"/>
      <c r="E724" s="4"/>
      <c r="F724" s="4"/>
      <c r="G724" s="4"/>
      <c r="H724" s="4"/>
      <c r="I724" s="237"/>
      <c r="J724" s="238"/>
      <c r="K724" s="238"/>
      <c r="L724" s="239"/>
      <c r="M724" s="239"/>
      <c r="N724" s="239"/>
      <c r="O724" s="240"/>
      <c r="P724" s="238"/>
      <c r="Q724" s="241"/>
      <c r="R724" s="239"/>
      <c r="S724" s="239"/>
      <c r="T724" s="239"/>
      <c r="U724" s="240"/>
      <c r="V724" s="238"/>
      <c r="W724" s="242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  <c r="AK724" s="239"/>
      <c r="AL724" s="239"/>
      <c r="AM724" s="4"/>
      <c r="AN724" s="4"/>
    </row>
    <row r="725" ht="15.75" customHeight="1">
      <c r="A725" s="4"/>
      <c r="B725" s="4"/>
      <c r="C725" s="12"/>
      <c r="D725" s="4"/>
      <c r="E725" s="4"/>
      <c r="F725" s="4"/>
      <c r="G725" s="4"/>
      <c r="H725" s="4"/>
      <c r="I725" s="237"/>
      <c r="J725" s="238"/>
      <c r="K725" s="238"/>
      <c r="L725" s="239"/>
      <c r="M725" s="239"/>
      <c r="N725" s="239"/>
      <c r="O725" s="240"/>
      <c r="P725" s="238"/>
      <c r="Q725" s="241"/>
      <c r="R725" s="239"/>
      <c r="S725" s="239"/>
      <c r="T725" s="239"/>
      <c r="U725" s="240"/>
      <c r="V725" s="238"/>
      <c r="W725" s="242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  <c r="AK725" s="239"/>
      <c r="AL725" s="239"/>
      <c r="AM725" s="4"/>
      <c r="AN725" s="4"/>
    </row>
    <row r="726" ht="15.75" customHeight="1">
      <c r="A726" s="4"/>
      <c r="B726" s="4"/>
      <c r="C726" s="12"/>
      <c r="D726" s="4"/>
      <c r="E726" s="4"/>
      <c r="F726" s="4"/>
      <c r="G726" s="4"/>
      <c r="H726" s="4"/>
      <c r="I726" s="237"/>
      <c r="J726" s="238"/>
      <c r="K726" s="238"/>
      <c r="L726" s="239"/>
      <c r="M726" s="239"/>
      <c r="N726" s="239"/>
      <c r="O726" s="240"/>
      <c r="P726" s="238"/>
      <c r="Q726" s="241"/>
      <c r="R726" s="239"/>
      <c r="S726" s="239"/>
      <c r="T726" s="239"/>
      <c r="U726" s="240"/>
      <c r="V726" s="238"/>
      <c r="W726" s="242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  <c r="AK726" s="239"/>
      <c r="AL726" s="239"/>
      <c r="AM726" s="4"/>
      <c r="AN726" s="4"/>
    </row>
    <row r="727" ht="15.75" customHeight="1">
      <c r="A727" s="4"/>
      <c r="B727" s="4"/>
      <c r="C727" s="12"/>
      <c r="D727" s="4"/>
      <c r="E727" s="4"/>
      <c r="F727" s="4"/>
      <c r="G727" s="4"/>
      <c r="H727" s="4"/>
      <c r="I727" s="237"/>
      <c r="J727" s="238"/>
      <c r="K727" s="238"/>
      <c r="L727" s="239"/>
      <c r="M727" s="239"/>
      <c r="N727" s="239"/>
      <c r="O727" s="240"/>
      <c r="P727" s="238"/>
      <c r="Q727" s="241"/>
      <c r="R727" s="239"/>
      <c r="S727" s="239"/>
      <c r="T727" s="239"/>
      <c r="U727" s="240"/>
      <c r="V727" s="238"/>
      <c r="W727" s="242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  <c r="AK727" s="239"/>
      <c r="AL727" s="239"/>
      <c r="AM727" s="4"/>
      <c r="AN727" s="4"/>
    </row>
    <row r="728" ht="15.75" customHeight="1">
      <c r="A728" s="4"/>
      <c r="B728" s="4"/>
      <c r="C728" s="12"/>
      <c r="D728" s="4"/>
      <c r="E728" s="4"/>
      <c r="F728" s="4"/>
      <c r="G728" s="4"/>
      <c r="H728" s="4"/>
      <c r="I728" s="237"/>
      <c r="J728" s="238"/>
      <c r="K728" s="238"/>
      <c r="L728" s="239"/>
      <c r="M728" s="239"/>
      <c r="N728" s="239"/>
      <c r="O728" s="240"/>
      <c r="P728" s="238"/>
      <c r="Q728" s="241"/>
      <c r="R728" s="239"/>
      <c r="S728" s="239"/>
      <c r="T728" s="239"/>
      <c r="U728" s="240"/>
      <c r="V728" s="238"/>
      <c r="W728" s="242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  <c r="AK728" s="239"/>
      <c r="AL728" s="239"/>
      <c r="AM728" s="4"/>
      <c r="AN728" s="4"/>
    </row>
    <row r="729" ht="15.75" customHeight="1">
      <c r="A729" s="4"/>
      <c r="B729" s="4"/>
      <c r="C729" s="12"/>
      <c r="D729" s="4"/>
      <c r="E729" s="4"/>
      <c r="F729" s="4"/>
      <c r="G729" s="4"/>
      <c r="H729" s="4"/>
      <c r="I729" s="237"/>
      <c r="J729" s="238"/>
      <c r="K729" s="238"/>
      <c r="L729" s="239"/>
      <c r="M729" s="239"/>
      <c r="N729" s="239"/>
      <c r="O729" s="240"/>
      <c r="P729" s="238"/>
      <c r="Q729" s="241"/>
      <c r="R729" s="239"/>
      <c r="S729" s="239"/>
      <c r="T729" s="239"/>
      <c r="U729" s="240"/>
      <c r="V729" s="238"/>
      <c r="W729" s="242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  <c r="AK729" s="239"/>
      <c r="AL729" s="239"/>
      <c r="AM729" s="4"/>
      <c r="AN729" s="4"/>
    </row>
    <row r="730" ht="15.75" customHeight="1">
      <c r="A730" s="4"/>
      <c r="B730" s="4"/>
      <c r="C730" s="12"/>
      <c r="D730" s="4"/>
      <c r="E730" s="4"/>
      <c r="F730" s="4"/>
      <c r="G730" s="4"/>
      <c r="H730" s="4"/>
      <c r="I730" s="237"/>
      <c r="J730" s="238"/>
      <c r="K730" s="238"/>
      <c r="L730" s="239"/>
      <c r="M730" s="239"/>
      <c r="N730" s="239"/>
      <c r="O730" s="240"/>
      <c r="P730" s="238"/>
      <c r="Q730" s="241"/>
      <c r="R730" s="239"/>
      <c r="S730" s="239"/>
      <c r="T730" s="239"/>
      <c r="U730" s="240"/>
      <c r="V730" s="238"/>
      <c r="W730" s="242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  <c r="AK730" s="239"/>
      <c r="AL730" s="239"/>
      <c r="AM730" s="4"/>
      <c r="AN730" s="4"/>
    </row>
    <row r="731" ht="15.75" customHeight="1">
      <c r="A731" s="4"/>
      <c r="B731" s="4"/>
      <c r="C731" s="12"/>
      <c r="D731" s="4"/>
      <c r="E731" s="4"/>
      <c r="F731" s="4"/>
      <c r="G731" s="4"/>
      <c r="H731" s="4"/>
      <c r="I731" s="237"/>
      <c r="J731" s="238"/>
      <c r="K731" s="238"/>
      <c r="L731" s="239"/>
      <c r="M731" s="239"/>
      <c r="N731" s="239"/>
      <c r="O731" s="240"/>
      <c r="P731" s="238"/>
      <c r="Q731" s="241"/>
      <c r="R731" s="239"/>
      <c r="S731" s="239"/>
      <c r="T731" s="239"/>
      <c r="U731" s="240"/>
      <c r="V731" s="238"/>
      <c r="W731" s="242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  <c r="AK731" s="239"/>
      <c r="AL731" s="239"/>
      <c r="AM731" s="4"/>
      <c r="AN731" s="4"/>
    </row>
    <row r="732" ht="15.75" customHeight="1">
      <c r="A732" s="4"/>
      <c r="B732" s="4"/>
      <c r="C732" s="12"/>
      <c r="D732" s="4"/>
      <c r="E732" s="4"/>
      <c r="F732" s="4"/>
      <c r="G732" s="4"/>
      <c r="H732" s="4"/>
      <c r="I732" s="237"/>
      <c r="J732" s="238"/>
      <c r="K732" s="238"/>
      <c r="L732" s="239"/>
      <c r="M732" s="239"/>
      <c r="N732" s="239"/>
      <c r="O732" s="240"/>
      <c r="P732" s="238"/>
      <c r="Q732" s="241"/>
      <c r="R732" s="239"/>
      <c r="S732" s="239"/>
      <c r="T732" s="239"/>
      <c r="U732" s="240"/>
      <c r="V732" s="238"/>
      <c r="W732" s="242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  <c r="AK732" s="239"/>
      <c r="AL732" s="239"/>
      <c r="AM732" s="4"/>
      <c r="AN732" s="4"/>
    </row>
    <row r="733" ht="15.75" customHeight="1">
      <c r="A733" s="4"/>
      <c r="B733" s="4"/>
      <c r="C733" s="12"/>
      <c r="D733" s="4"/>
      <c r="E733" s="4"/>
      <c r="F733" s="4"/>
      <c r="G733" s="4"/>
      <c r="H733" s="4"/>
      <c r="I733" s="237"/>
      <c r="J733" s="238"/>
      <c r="K733" s="238"/>
      <c r="L733" s="239"/>
      <c r="M733" s="239"/>
      <c r="N733" s="239"/>
      <c r="O733" s="240"/>
      <c r="P733" s="238"/>
      <c r="Q733" s="241"/>
      <c r="R733" s="239"/>
      <c r="S733" s="239"/>
      <c r="T733" s="239"/>
      <c r="U733" s="240"/>
      <c r="V733" s="238"/>
      <c r="W733" s="242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  <c r="AK733" s="239"/>
      <c r="AL733" s="239"/>
      <c r="AM733" s="4"/>
      <c r="AN733" s="4"/>
    </row>
    <row r="734" ht="15.75" customHeight="1">
      <c r="A734" s="4"/>
      <c r="B734" s="4"/>
      <c r="C734" s="12"/>
      <c r="D734" s="4"/>
      <c r="E734" s="4"/>
      <c r="F734" s="4"/>
      <c r="G734" s="4"/>
      <c r="H734" s="4"/>
      <c r="I734" s="237"/>
      <c r="J734" s="238"/>
      <c r="K734" s="238"/>
      <c r="L734" s="239"/>
      <c r="M734" s="239"/>
      <c r="N734" s="239"/>
      <c r="O734" s="240"/>
      <c r="P734" s="238"/>
      <c r="Q734" s="241"/>
      <c r="R734" s="239"/>
      <c r="S734" s="239"/>
      <c r="T734" s="239"/>
      <c r="U734" s="240"/>
      <c r="V734" s="238"/>
      <c r="W734" s="242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  <c r="AK734" s="239"/>
      <c r="AL734" s="239"/>
      <c r="AM734" s="4"/>
      <c r="AN734" s="4"/>
    </row>
    <row r="735" ht="15.75" customHeight="1">
      <c r="A735" s="4"/>
      <c r="B735" s="4"/>
      <c r="C735" s="12"/>
      <c r="D735" s="4"/>
      <c r="E735" s="4"/>
      <c r="F735" s="4"/>
      <c r="G735" s="4"/>
      <c r="H735" s="4"/>
      <c r="I735" s="237"/>
      <c r="J735" s="238"/>
      <c r="K735" s="238"/>
      <c r="L735" s="239"/>
      <c r="M735" s="239"/>
      <c r="N735" s="239"/>
      <c r="O735" s="240"/>
      <c r="P735" s="238"/>
      <c r="Q735" s="241"/>
      <c r="R735" s="239"/>
      <c r="S735" s="239"/>
      <c r="T735" s="239"/>
      <c r="U735" s="240"/>
      <c r="V735" s="238"/>
      <c r="W735" s="242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  <c r="AK735" s="239"/>
      <c r="AL735" s="239"/>
      <c r="AM735" s="4"/>
      <c r="AN735" s="4"/>
    </row>
    <row r="736" ht="15.75" customHeight="1">
      <c r="A736" s="4"/>
      <c r="B736" s="4"/>
      <c r="C736" s="12"/>
      <c r="D736" s="4"/>
      <c r="E736" s="4"/>
      <c r="F736" s="4"/>
      <c r="G736" s="4"/>
      <c r="H736" s="4"/>
      <c r="I736" s="237"/>
      <c r="J736" s="238"/>
      <c r="K736" s="238"/>
      <c r="L736" s="239"/>
      <c r="M736" s="239"/>
      <c r="N736" s="239"/>
      <c r="O736" s="240"/>
      <c r="P736" s="238"/>
      <c r="Q736" s="241"/>
      <c r="R736" s="239"/>
      <c r="S736" s="239"/>
      <c r="T736" s="239"/>
      <c r="U736" s="240"/>
      <c r="V736" s="238"/>
      <c r="W736" s="242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  <c r="AK736" s="239"/>
      <c r="AL736" s="239"/>
      <c r="AM736" s="4"/>
      <c r="AN736" s="4"/>
    </row>
    <row r="737" ht="15.75" customHeight="1">
      <c r="A737" s="4"/>
      <c r="B737" s="4"/>
      <c r="C737" s="12"/>
      <c r="D737" s="4"/>
      <c r="E737" s="4"/>
      <c r="F737" s="4"/>
      <c r="G737" s="4"/>
      <c r="H737" s="4"/>
      <c r="I737" s="237"/>
      <c r="J737" s="238"/>
      <c r="K737" s="238"/>
      <c r="L737" s="239"/>
      <c r="M737" s="239"/>
      <c r="N737" s="239"/>
      <c r="O737" s="240"/>
      <c r="P737" s="238"/>
      <c r="Q737" s="241"/>
      <c r="R737" s="239"/>
      <c r="S737" s="239"/>
      <c r="T737" s="239"/>
      <c r="U737" s="240"/>
      <c r="V737" s="238"/>
      <c r="W737" s="242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  <c r="AK737" s="239"/>
      <c r="AL737" s="239"/>
      <c r="AM737" s="4"/>
      <c r="AN737" s="4"/>
    </row>
    <row r="738" ht="15.75" customHeight="1">
      <c r="A738" s="4"/>
      <c r="B738" s="4"/>
      <c r="C738" s="12"/>
      <c r="D738" s="4"/>
      <c r="E738" s="4"/>
      <c r="F738" s="4"/>
      <c r="G738" s="4"/>
      <c r="H738" s="4"/>
      <c r="I738" s="237"/>
      <c r="J738" s="238"/>
      <c r="K738" s="238"/>
      <c r="L738" s="239"/>
      <c r="M738" s="239"/>
      <c r="N738" s="239"/>
      <c r="O738" s="240"/>
      <c r="P738" s="238"/>
      <c r="Q738" s="241"/>
      <c r="R738" s="239"/>
      <c r="S738" s="239"/>
      <c r="T738" s="239"/>
      <c r="U738" s="240"/>
      <c r="V738" s="238"/>
      <c r="W738" s="242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  <c r="AK738" s="239"/>
      <c r="AL738" s="239"/>
      <c r="AM738" s="4"/>
      <c r="AN738" s="4"/>
    </row>
    <row r="739" ht="15.75" customHeight="1">
      <c r="A739" s="4"/>
      <c r="B739" s="4"/>
      <c r="C739" s="12"/>
      <c r="D739" s="4"/>
      <c r="E739" s="4"/>
      <c r="F739" s="4"/>
      <c r="G739" s="4"/>
      <c r="H739" s="4"/>
      <c r="I739" s="237"/>
      <c r="J739" s="238"/>
      <c r="K739" s="238"/>
      <c r="L739" s="239"/>
      <c r="M739" s="239"/>
      <c r="N739" s="239"/>
      <c r="O739" s="240"/>
      <c r="P739" s="238"/>
      <c r="Q739" s="241"/>
      <c r="R739" s="239"/>
      <c r="S739" s="239"/>
      <c r="T739" s="239"/>
      <c r="U739" s="240"/>
      <c r="V739" s="238"/>
      <c r="W739" s="242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  <c r="AK739" s="239"/>
      <c r="AL739" s="239"/>
      <c r="AM739" s="4"/>
      <c r="AN739" s="4"/>
    </row>
    <row r="740" ht="15.75" customHeight="1">
      <c r="A740" s="4"/>
      <c r="B740" s="4"/>
      <c r="C740" s="12"/>
      <c r="D740" s="4"/>
      <c r="E740" s="4"/>
      <c r="F740" s="4"/>
      <c r="G740" s="4"/>
      <c r="H740" s="4"/>
      <c r="I740" s="237"/>
      <c r="J740" s="238"/>
      <c r="K740" s="238"/>
      <c r="L740" s="239"/>
      <c r="M740" s="239"/>
      <c r="N740" s="239"/>
      <c r="O740" s="240"/>
      <c r="P740" s="238"/>
      <c r="Q740" s="241"/>
      <c r="R740" s="239"/>
      <c r="S740" s="239"/>
      <c r="T740" s="239"/>
      <c r="U740" s="240"/>
      <c r="V740" s="238"/>
      <c r="W740" s="242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  <c r="AK740" s="239"/>
      <c r="AL740" s="239"/>
      <c r="AM740" s="4"/>
      <c r="AN740" s="4"/>
    </row>
    <row r="741" ht="15.75" customHeight="1">
      <c r="A741" s="4"/>
      <c r="B741" s="4"/>
      <c r="C741" s="12"/>
      <c r="D741" s="4"/>
      <c r="E741" s="4"/>
      <c r="F741" s="4"/>
      <c r="G741" s="4"/>
      <c r="H741" s="4"/>
      <c r="I741" s="237"/>
      <c r="J741" s="238"/>
      <c r="K741" s="238"/>
      <c r="L741" s="239"/>
      <c r="M741" s="239"/>
      <c r="N741" s="239"/>
      <c r="O741" s="240"/>
      <c r="P741" s="238"/>
      <c r="Q741" s="241"/>
      <c r="R741" s="239"/>
      <c r="S741" s="239"/>
      <c r="T741" s="239"/>
      <c r="U741" s="240"/>
      <c r="V741" s="238"/>
      <c r="W741" s="242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  <c r="AK741" s="239"/>
      <c r="AL741" s="239"/>
      <c r="AM741" s="4"/>
      <c r="AN741" s="4"/>
    </row>
    <row r="742" ht="15.75" customHeight="1">
      <c r="A742" s="4"/>
      <c r="B742" s="4"/>
      <c r="C742" s="12"/>
      <c r="D742" s="4"/>
      <c r="E742" s="4"/>
      <c r="F742" s="4"/>
      <c r="G742" s="4"/>
      <c r="H742" s="4"/>
      <c r="I742" s="237"/>
      <c r="J742" s="238"/>
      <c r="K742" s="238"/>
      <c r="L742" s="239"/>
      <c r="M742" s="239"/>
      <c r="N742" s="239"/>
      <c r="O742" s="240"/>
      <c r="P742" s="238"/>
      <c r="Q742" s="241"/>
      <c r="R742" s="239"/>
      <c r="S742" s="239"/>
      <c r="T742" s="239"/>
      <c r="U742" s="240"/>
      <c r="V742" s="238"/>
      <c r="W742" s="242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  <c r="AK742" s="239"/>
      <c r="AL742" s="239"/>
      <c r="AM742" s="4"/>
      <c r="AN742" s="4"/>
    </row>
    <row r="743" ht="15.75" customHeight="1">
      <c r="A743" s="4"/>
      <c r="B743" s="4"/>
      <c r="C743" s="12"/>
      <c r="D743" s="4"/>
      <c r="E743" s="4"/>
      <c r="F743" s="4"/>
      <c r="G743" s="4"/>
      <c r="H743" s="4"/>
      <c r="I743" s="237"/>
      <c r="J743" s="238"/>
      <c r="K743" s="238"/>
      <c r="L743" s="239"/>
      <c r="M743" s="239"/>
      <c r="N743" s="239"/>
      <c r="O743" s="240"/>
      <c r="P743" s="238"/>
      <c r="Q743" s="241"/>
      <c r="R743" s="239"/>
      <c r="S743" s="239"/>
      <c r="T743" s="239"/>
      <c r="U743" s="240"/>
      <c r="V743" s="238"/>
      <c r="W743" s="242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  <c r="AK743" s="239"/>
      <c r="AL743" s="239"/>
      <c r="AM743" s="4"/>
      <c r="AN743" s="4"/>
    </row>
    <row r="744" ht="15.75" customHeight="1">
      <c r="A744" s="4"/>
      <c r="B744" s="4"/>
      <c r="C744" s="12"/>
      <c r="D744" s="4"/>
      <c r="E744" s="4"/>
      <c r="F744" s="4"/>
      <c r="G744" s="4"/>
      <c r="H744" s="4"/>
      <c r="I744" s="237"/>
      <c r="J744" s="238"/>
      <c r="K744" s="238"/>
      <c r="L744" s="239"/>
      <c r="M744" s="239"/>
      <c r="N744" s="239"/>
      <c r="O744" s="240"/>
      <c r="P744" s="238"/>
      <c r="Q744" s="241"/>
      <c r="R744" s="239"/>
      <c r="S744" s="239"/>
      <c r="T744" s="239"/>
      <c r="U744" s="240"/>
      <c r="V744" s="238"/>
      <c r="W744" s="242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  <c r="AK744" s="239"/>
      <c r="AL744" s="239"/>
      <c r="AM744" s="4"/>
      <c r="AN744" s="4"/>
    </row>
    <row r="745" ht="15.75" customHeight="1">
      <c r="A745" s="4"/>
      <c r="B745" s="4"/>
      <c r="C745" s="12"/>
      <c r="D745" s="4"/>
      <c r="E745" s="4"/>
      <c r="F745" s="4"/>
      <c r="G745" s="4"/>
      <c r="H745" s="4"/>
      <c r="I745" s="237"/>
      <c r="J745" s="238"/>
      <c r="K745" s="238"/>
      <c r="L745" s="239"/>
      <c r="M745" s="239"/>
      <c r="N745" s="239"/>
      <c r="O745" s="240"/>
      <c r="P745" s="238"/>
      <c r="Q745" s="241"/>
      <c r="R745" s="239"/>
      <c r="S745" s="239"/>
      <c r="T745" s="239"/>
      <c r="U745" s="240"/>
      <c r="V745" s="238"/>
      <c r="W745" s="242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  <c r="AK745" s="239"/>
      <c r="AL745" s="239"/>
      <c r="AM745" s="4"/>
      <c r="AN745" s="4"/>
    </row>
    <row r="746" ht="15.75" customHeight="1">
      <c r="A746" s="4"/>
      <c r="B746" s="4"/>
      <c r="C746" s="12"/>
      <c r="D746" s="4"/>
      <c r="E746" s="4"/>
      <c r="F746" s="4"/>
      <c r="G746" s="4"/>
      <c r="H746" s="4"/>
      <c r="I746" s="237"/>
      <c r="J746" s="238"/>
      <c r="K746" s="238"/>
      <c r="L746" s="239"/>
      <c r="M746" s="239"/>
      <c r="N746" s="239"/>
      <c r="O746" s="240"/>
      <c r="P746" s="238"/>
      <c r="Q746" s="241"/>
      <c r="R746" s="239"/>
      <c r="S746" s="239"/>
      <c r="T746" s="239"/>
      <c r="U746" s="240"/>
      <c r="V746" s="238"/>
      <c r="W746" s="242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  <c r="AK746" s="239"/>
      <c r="AL746" s="239"/>
      <c r="AM746" s="4"/>
      <c r="AN746" s="4"/>
    </row>
    <row r="747" ht="15.75" customHeight="1">
      <c r="A747" s="4"/>
      <c r="B747" s="4"/>
      <c r="C747" s="12"/>
      <c r="D747" s="4"/>
      <c r="E747" s="4"/>
      <c r="F747" s="4"/>
      <c r="G747" s="4"/>
      <c r="H747" s="4"/>
      <c r="I747" s="237"/>
      <c r="J747" s="238"/>
      <c r="K747" s="238"/>
      <c r="L747" s="239"/>
      <c r="M747" s="239"/>
      <c r="N747" s="239"/>
      <c r="O747" s="240"/>
      <c r="P747" s="238"/>
      <c r="Q747" s="241"/>
      <c r="R747" s="239"/>
      <c r="S747" s="239"/>
      <c r="T747" s="239"/>
      <c r="U747" s="240"/>
      <c r="V747" s="238"/>
      <c r="W747" s="242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  <c r="AK747" s="239"/>
      <c r="AL747" s="239"/>
      <c r="AM747" s="4"/>
      <c r="AN747" s="4"/>
    </row>
    <row r="748" ht="15.75" customHeight="1">
      <c r="A748" s="4"/>
      <c r="B748" s="4"/>
      <c r="C748" s="12"/>
      <c r="D748" s="4"/>
      <c r="E748" s="4"/>
      <c r="F748" s="4"/>
      <c r="G748" s="4"/>
      <c r="H748" s="4"/>
      <c r="I748" s="237"/>
      <c r="J748" s="238"/>
      <c r="K748" s="238"/>
      <c r="L748" s="239"/>
      <c r="M748" s="239"/>
      <c r="N748" s="239"/>
      <c r="O748" s="240"/>
      <c r="P748" s="238"/>
      <c r="Q748" s="241"/>
      <c r="R748" s="239"/>
      <c r="S748" s="239"/>
      <c r="T748" s="239"/>
      <c r="U748" s="240"/>
      <c r="V748" s="238"/>
      <c r="W748" s="242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  <c r="AK748" s="239"/>
      <c r="AL748" s="239"/>
      <c r="AM748" s="4"/>
      <c r="AN748" s="4"/>
    </row>
    <row r="749" ht="15.75" customHeight="1">
      <c r="A749" s="4"/>
      <c r="B749" s="4"/>
      <c r="C749" s="12"/>
      <c r="D749" s="4"/>
      <c r="E749" s="4"/>
      <c r="F749" s="4"/>
      <c r="G749" s="4"/>
      <c r="H749" s="4"/>
      <c r="I749" s="237"/>
      <c r="J749" s="238"/>
      <c r="K749" s="238"/>
      <c r="L749" s="239"/>
      <c r="M749" s="239"/>
      <c r="N749" s="239"/>
      <c r="O749" s="240"/>
      <c r="P749" s="238"/>
      <c r="Q749" s="241"/>
      <c r="R749" s="239"/>
      <c r="S749" s="239"/>
      <c r="T749" s="239"/>
      <c r="U749" s="240"/>
      <c r="V749" s="238"/>
      <c r="W749" s="242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  <c r="AK749" s="239"/>
      <c r="AL749" s="239"/>
      <c r="AM749" s="4"/>
      <c r="AN749" s="4"/>
    </row>
    <row r="750" ht="15.75" customHeight="1">
      <c r="A750" s="4"/>
      <c r="B750" s="4"/>
      <c r="C750" s="12"/>
      <c r="D750" s="4"/>
      <c r="E750" s="4"/>
      <c r="F750" s="4"/>
      <c r="G750" s="4"/>
      <c r="H750" s="4"/>
      <c r="I750" s="237"/>
      <c r="J750" s="238"/>
      <c r="K750" s="238"/>
      <c r="L750" s="239"/>
      <c r="M750" s="239"/>
      <c r="N750" s="239"/>
      <c r="O750" s="240"/>
      <c r="P750" s="238"/>
      <c r="Q750" s="241"/>
      <c r="R750" s="239"/>
      <c r="S750" s="239"/>
      <c r="T750" s="239"/>
      <c r="U750" s="240"/>
      <c r="V750" s="238"/>
      <c r="W750" s="242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  <c r="AK750" s="239"/>
      <c r="AL750" s="239"/>
      <c r="AM750" s="4"/>
      <c r="AN750" s="4"/>
    </row>
    <row r="751" ht="15.75" customHeight="1">
      <c r="A751" s="4"/>
      <c r="B751" s="4"/>
      <c r="C751" s="12"/>
      <c r="D751" s="4"/>
      <c r="E751" s="4"/>
      <c r="F751" s="4"/>
      <c r="G751" s="4"/>
      <c r="H751" s="4"/>
      <c r="I751" s="237"/>
      <c r="J751" s="238"/>
      <c r="K751" s="238"/>
      <c r="L751" s="239"/>
      <c r="M751" s="239"/>
      <c r="N751" s="239"/>
      <c r="O751" s="240"/>
      <c r="P751" s="238"/>
      <c r="Q751" s="241"/>
      <c r="R751" s="239"/>
      <c r="S751" s="239"/>
      <c r="T751" s="239"/>
      <c r="U751" s="240"/>
      <c r="V751" s="238"/>
      <c r="W751" s="242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  <c r="AK751" s="239"/>
      <c r="AL751" s="239"/>
      <c r="AM751" s="4"/>
      <c r="AN751" s="4"/>
    </row>
    <row r="752" ht="15.75" customHeight="1">
      <c r="A752" s="4"/>
      <c r="B752" s="4"/>
      <c r="C752" s="12"/>
      <c r="D752" s="4"/>
      <c r="E752" s="4"/>
      <c r="F752" s="4"/>
      <c r="G752" s="4"/>
      <c r="H752" s="4"/>
      <c r="I752" s="237"/>
      <c r="J752" s="238"/>
      <c r="K752" s="238"/>
      <c r="L752" s="239"/>
      <c r="M752" s="239"/>
      <c r="N752" s="239"/>
      <c r="O752" s="240"/>
      <c r="P752" s="238"/>
      <c r="Q752" s="241"/>
      <c r="R752" s="239"/>
      <c r="S752" s="239"/>
      <c r="T752" s="239"/>
      <c r="U752" s="240"/>
      <c r="V752" s="238"/>
      <c r="W752" s="242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  <c r="AK752" s="239"/>
      <c r="AL752" s="239"/>
      <c r="AM752" s="4"/>
      <c r="AN752" s="4"/>
    </row>
    <row r="753" ht="15.75" customHeight="1">
      <c r="A753" s="4"/>
      <c r="B753" s="4"/>
      <c r="C753" s="12"/>
      <c r="D753" s="4"/>
      <c r="E753" s="4"/>
      <c r="F753" s="4"/>
      <c r="G753" s="4"/>
      <c r="H753" s="4"/>
      <c r="I753" s="237"/>
      <c r="J753" s="238"/>
      <c r="K753" s="238"/>
      <c r="L753" s="239"/>
      <c r="M753" s="239"/>
      <c r="N753" s="239"/>
      <c r="O753" s="240"/>
      <c r="P753" s="238"/>
      <c r="Q753" s="241"/>
      <c r="R753" s="239"/>
      <c r="S753" s="239"/>
      <c r="T753" s="239"/>
      <c r="U753" s="240"/>
      <c r="V753" s="238"/>
      <c r="W753" s="242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  <c r="AK753" s="239"/>
      <c r="AL753" s="239"/>
      <c r="AM753" s="4"/>
      <c r="AN753" s="4"/>
    </row>
    <row r="754" ht="15.75" customHeight="1">
      <c r="A754" s="4"/>
      <c r="B754" s="4"/>
      <c r="C754" s="12"/>
      <c r="D754" s="4"/>
      <c r="E754" s="4"/>
      <c r="F754" s="4"/>
      <c r="G754" s="4"/>
      <c r="H754" s="4"/>
      <c r="I754" s="237"/>
      <c r="J754" s="238"/>
      <c r="K754" s="238"/>
      <c r="L754" s="239"/>
      <c r="M754" s="239"/>
      <c r="N754" s="239"/>
      <c r="O754" s="240"/>
      <c r="P754" s="238"/>
      <c r="Q754" s="241"/>
      <c r="R754" s="239"/>
      <c r="S754" s="239"/>
      <c r="T754" s="239"/>
      <c r="U754" s="240"/>
      <c r="V754" s="238"/>
      <c r="W754" s="242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  <c r="AK754" s="239"/>
      <c r="AL754" s="239"/>
      <c r="AM754" s="4"/>
      <c r="AN754" s="4"/>
    </row>
    <row r="755" ht="15.75" customHeight="1">
      <c r="A755" s="4"/>
      <c r="B755" s="4"/>
      <c r="C755" s="12"/>
      <c r="D755" s="4"/>
      <c r="E755" s="4"/>
      <c r="F755" s="4"/>
      <c r="G755" s="4"/>
      <c r="H755" s="4"/>
      <c r="I755" s="237"/>
      <c r="J755" s="238"/>
      <c r="K755" s="238"/>
      <c r="L755" s="239"/>
      <c r="M755" s="239"/>
      <c r="N755" s="239"/>
      <c r="O755" s="240"/>
      <c r="P755" s="238"/>
      <c r="Q755" s="241"/>
      <c r="R755" s="239"/>
      <c r="S755" s="239"/>
      <c r="T755" s="239"/>
      <c r="U755" s="240"/>
      <c r="V755" s="238"/>
      <c r="W755" s="242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  <c r="AK755" s="239"/>
      <c r="AL755" s="239"/>
      <c r="AM755" s="4"/>
      <c r="AN755" s="4"/>
    </row>
    <row r="756" ht="15.75" customHeight="1">
      <c r="A756" s="4"/>
      <c r="B756" s="4"/>
      <c r="C756" s="12"/>
      <c r="D756" s="4"/>
      <c r="E756" s="4"/>
      <c r="F756" s="4"/>
      <c r="G756" s="4"/>
      <c r="H756" s="4"/>
      <c r="I756" s="237"/>
      <c r="J756" s="238"/>
      <c r="K756" s="238"/>
      <c r="L756" s="239"/>
      <c r="M756" s="239"/>
      <c r="N756" s="239"/>
      <c r="O756" s="240"/>
      <c r="P756" s="238"/>
      <c r="Q756" s="241"/>
      <c r="R756" s="239"/>
      <c r="S756" s="239"/>
      <c r="T756" s="239"/>
      <c r="U756" s="240"/>
      <c r="V756" s="238"/>
      <c r="W756" s="242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  <c r="AK756" s="239"/>
      <c r="AL756" s="239"/>
      <c r="AM756" s="4"/>
      <c r="AN756" s="4"/>
    </row>
    <row r="757" ht="15.75" customHeight="1">
      <c r="A757" s="4"/>
      <c r="B757" s="4"/>
      <c r="C757" s="12"/>
      <c r="D757" s="4"/>
      <c r="E757" s="4"/>
      <c r="F757" s="4"/>
      <c r="G757" s="4"/>
      <c r="H757" s="4"/>
      <c r="I757" s="237"/>
      <c r="J757" s="238"/>
      <c r="K757" s="238"/>
      <c r="L757" s="239"/>
      <c r="M757" s="239"/>
      <c r="N757" s="239"/>
      <c r="O757" s="240"/>
      <c r="P757" s="238"/>
      <c r="Q757" s="241"/>
      <c r="R757" s="239"/>
      <c r="S757" s="239"/>
      <c r="T757" s="239"/>
      <c r="U757" s="240"/>
      <c r="V757" s="238"/>
      <c r="W757" s="242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  <c r="AK757" s="239"/>
      <c r="AL757" s="239"/>
      <c r="AM757" s="4"/>
      <c r="AN757" s="4"/>
    </row>
    <row r="758" ht="15.75" customHeight="1">
      <c r="A758" s="4"/>
      <c r="B758" s="4"/>
      <c r="C758" s="12"/>
      <c r="D758" s="4"/>
      <c r="E758" s="4"/>
      <c r="F758" s="4"/>
      <c r="G758" s="4"/>
      <c r="H758" s="4"/>
      <c r="I758" s="237"/>
      <c r="J758" s="238"/>
      <c r="K758" s="238"/>
      <c r="L758" s="239"/>
      <c r="M758" s="239"/>
      <c r="N758" s="239"/>
      <c r="O758" s="240"/>
      <c r="P758" s="238"/>
      <c r="Q758" s="241"/>
      <c r="R758" s="239"/>
      <c r="S758" s="239"/>
      <c r="T758" s="239"/>
      <c r="U758" s="240"/>
      <c r="V758" s="238"/>
      <c r="W758" s="242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  <c r="AK758" s="239"/>
      <c r="AL758" s="239"/>
      <c r="AM758" s="4"/>
      <c r="AN758" s="4"/>
    </row>
    <row r="759" ht="15.75" customHeight="1">
      <c r="A759" s="4"/>
      <c r="B759" s="4"/>
      <c r="C759" s="12"/>
      <c r="D759" s="4"/>
      <c r="E759" s="4"/>
      <c r="F759" s="4"/>
      <c r="G759" s="4"/>
      <c r="H759" s="4"/>
      <c r="I759" s="237"/>
      <c r="J759" s="238"/>
      <c r="K759" s="238"/>
      <c r="L759" s="239"/>
      <c r="M759" s="239"/>
      <c r="N759" s="239"/>
      <c r="O759" s="240"/>
      <c r="P759" s="238"/>
      <c r="Q759" s="241"/>
      <c r="R759" s="239"/>
      <c r="S759" s="239"/>
      <c r="T759" s="239"/>
      <c r="U759" s="240"/>
      <c r="V759" s="238"/>
      <c r="W759" s="242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  <c r="AK759" s="239"/>
      <c r="AL759" s="239"/>
      <c r="AM759" s="4"/>
      <c r="AN759" s="4"/>
    </row>
    <row r="760" ht="15.75" customHeight="1">
      <c r="A760" s="4"/>
      <c r="B760" s="4"/>
      <c r="C760" s="12"/>
      <c r="D760" s="4"/>
      <c r="E760" s="4"/>
      <c r="F760" s="4"/>
      <c r="G760" s="4"/>
      <c r="H760" s="4"/>
      <c r="I760" s="237"/>
      <c r="J760" s="238"/>
      <c r="K760" s="238"/>
      <c r="L760" s="239"/>
      <c r="M760" s="239"/>
      <c r="N760" s="239"/>
      <c r="O760" s="240"/>
      <c r="P760" s="238"/>
      <c r="Q760" s="241"/>
      <c r="R760" s="239"/>
      <c r="S760" s="239"/>
      <c r="T760" s="239"/>
      <c r="U760" s="240"/>
      <c r="V760" s="238"/>
      <c r="W760" s="242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  <c r="AK760" s="239"/>
      <c r="AL760" s="239"/>
      <c r="AM760" s="4"/>
      <c r="AN760" s="4"/>
    </row>
    <row r="761" ht="15.75" customHeight="1">
      <c r="A761" s="4"/>
      <c r="B761" s="4"/>
      <c r="C761" s="12"/>
      <c r="D761" s="4"/>
      <c r="E761" s="4"/>
      <c r="F761" s="4"/>
      <c r="G761" s="4"/>
      <c r="H761" s="4"/>
      <c r="I761" s="237"/>
      <c r="J761" s="238"/>
      <c r="K761" s="238"/>
      <c r="L761" s="239"/>
      <c r="M761" s="239"/>
      <c r="N761" s="239"/>
      <c r="O761" s="240"/>
      <c r="P761" s="238"/>
      <c r="Q761" s="241"/>
      <c r="R761" s="239"/>
      <c r="S761" s="239"/>
      <c r="T761" s="239"/>
      <c r="U761" s="240"/>
      <c r="V761" s="238"/>
      <c r="W761" s="242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  <c r="AK761" s="239"/>
      <c r="AL761" s="239"/>
      <c r="AM761" s="4"/>
      <c r="AN761" s="4"/>
    </row>
    <row r="762" ht="15.75" customHeight="1">
      <c r="A762" s="4"/>
      <c r="B762" s="4"/>
      <c r="C762" s="12"/>
      <c r="D762" s="4"/>
      <c r="E762" s="4"/>
      <c r="F762" s="4"/>
      <c r="G762" s="4"/>
      <c r="H762" s="4"/>
      <c r="I762" s="237"/>
      <c r="J762" s="238"/>
      <c r="K762" s="238"/>
      <c r="L762" s="239"/>
      <c r="M762" s="239"/>
      <c r="N762" s="239"/>
      <c r="O762" s="240"/>
      <c r="P762" s="238"/>
      <c r="Q762" s="241"/>
      <c r="R762" s="239"/>
      <c r="S762" s="239"/>
      <c r="T762" s="239"/>
      <c r="U762" s="240"/>
      <c r="V762" s="238"/>
      <c r="W762" s="242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  <c r="AK762" s="239"/>
      <c r="AL762" s="239"/>
      <c r="AM762" s="4"/>
      <c r="AN762" s="4"/>
    </row>
    <row r="763" ht="15.75" customHeight="1">
      <c r="A763" s="4"/>
      <c r="B763" s="4"/>
      <c r="C763" s="12"/>
      <c r="D763" s="4"/>
      <c r="E763" s="4"/>
      <c r="F763" s="4"/>
      <c r="G763" s="4"/>
      <c r="H763" s="4"/>
      <c r="I763" s="237"/>
      <c r="J763" s="238"/>
      <c r="K763" s="238"/>
      <c r="L763" s="239"/>
      <c r="M763" s="239"/>
      <c r="N763" s="239"/>
      <c r="O763" s="240"/>
      <c r="P763" s="238"/>
      <c r="Q763" s="241"/>
      <c r="R763" s="239"/>
      <c r="S763" s="239"/>
      <c r="T763" s="239"/>
      <c r="U763" s="240"/>
      <c r="V763" s="238"/>
      <c r="W763" s="242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  <c r="AK763" s="239"/>
      <c r="AL763" s="239"/>
      <c r="AM763" s="4"/>
      <c r="AN763" s="4"/>
    </row>
    <row r="764" ht="15.75" customHeight="1">
      <c r="A764" s="4"/>
      <c r="B764" s="4"/>
      <c r="C764" s="12"/>
      <c r="D764" s="4"/>
      <c r="E764" s="4"/>
      <c r="F764" s="4"/>
      <c r="G764" s="4"/>
      <c r="H764" s="4"/>
      <c r="I764" s="237"/>
      <c r="J764" s="238"/>
      <c r="K764" s="238"/>
      <c r="L764" s="239"/>
      <c r="M764" s="239"/>
      <c r="N764" s="239"/>
      <c r="O764" s="240"/>
      <c r="P764" s="238"/>
      <c r="Q764" s="241"/>
      <c r="R764" s="239"/>
      <c r="S764" s="239"/>
      <c r="T764" s="239"/>
      <c r="U764" s="240"/>
      <c r="V764" s="238"/>
      <c r="W764" s="242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  <c r="AK764" s="239"/>
      <c r="AL764" s="239"/>
      <c r="AM764" s="4"/>
      <c r="AN764" s="4"/>
    </row>
    <row r="765" ht="15.75" customHeight="1">
      <c r="A765" s="4"/>
      <c r="B765" s="4"/>
      <c r="C765" s="12"/>
      <c r="D765" s="4"/>
      <c r="E765" s="4"/>
      <c r="F765" s="4"/>
      <c r="G765" s="4"/>
      <c r="H765" s="4"/>
      <c r="I765" s="237"/>
      <c r="J765" s="238"/>
      <c r="K765" s="238"/>
      <c r="L765" s="239"/>
      <c r="M765" s="239"/>
      <c r="N765" s="239"/>
      <c r="O765" s="240"/>
      <c r="P765" s="238"/>
      <c r="Q765" s="241"/>
      <c r="R765" s="239"/>
      <c r="S765" s="239"/>
      <c r="T765" s="239"/>
      <c r="U765" s="240"/>
      <c r="V765" s="238"/>
      <c r="W765" s="242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  <c r="AK765" s="239"/>
      <c r="AL765" s="239"/>
      <c r="AM765" s="4"/>
      <c r="AN765" s="4"/>
    </row>
    <row r="766" ht="15.75" customHeight="1">
      <c r="A766" s="4"/>
      <c r="B766" s="4"/>
      <c r="C766" s="12"/>
      <c r="D766" s="4"/>
      <c r="E766" s="4"/>
      <c r="F766" s="4"/>
      <c r="G766" s="4"/>
      <c r="H766" s="4"/>
      <c r="I766" s="237"/>
      <c r="J766" s="238"/>
      <c r="K766" s="238"/>
      <c r="L766" s="239"/>
      <c r="M766" s="239"/>
      <c r="N766" s="239"/>
      <c r="O766" s="240"/>
      <c r="P766" s="238"/>
      <c r="Q766" s="241"/>
      <c r="R766" s="239"/>
      <c r="S766" s="239"/>
      <c r="T766" s="239"/>
      <c r="U766" s="240"/>
      <c r="V766" s="238"/>
      <c r="W766" s="242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  <c r="AK766" s="239"/>
      <c r="AL766" s="239"/>
      <c r="AM766" s="4"/>
      <c r="AN766" s="4"/>
    </row>
    <row r="767" ht="15.75" customHeight="1">
      <c r="A767" s="4"/>
      <c r="B767" s="4"/>
      <c r="C767" s="12"/>
      <c r="D767" s="4"/>
      <c r="E767" s="4"/>
      <c r="F767" s="4"/>
      <c r="G767" s="4"/>
      <c r="H767" s="4"/>
      <c r="I767" s="237"/>
      <c r="J767" s="238"/>
      <c r="K767" s="238"/>
      <c r="L767" s="239"/>
      <c r="M767" s="239"/>
      <c r="N767" s="239"/>
      <c r="O767" s="240"/>
      <c r="P767" s="238"/>
      <c r="Q767" s="241"/>
      <c r="R767" s="239"/>
      <c r="S767" s="239"/>
      <c r="T767" s="239"/>
      <c r="U767" s="240"/>
      <c r="V767" s="238"/>
      <c r="W767" s="242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  <c r="AK767" s="239"/>
      <c r="AL767" s="239"/>
      <c r="AM767" s="4"/>
      <c r="AN767" s="4"/>
    </row>
    <row r="768" ht="15.75" customHeight="1">
      <c r="A768" s="4"/>
      <c r="B768" s="4"/>
      <c r="C768" s="12"/>
      <c r="D768" s="4"/>
      <c r="E768" s="4"/>
      <c r="F768" s="4"/>
      <c r="G768" s="4"/>
      <c r="H768" s="4"/>
      <c r="I768" s="237"/>
      <c r="J768" s="238"/>
      <c r="K768" s="238"/>
      <c r="L768" s="239"/>
      <c r="M768" s="239"/>
      <c r="N768" s="239"/>
      <c r="O768" s="240"/>
      <c r="P768" s="238"/>
      <c r="Q768" s="241"/>
      <c r="R768" s="239"/>
      <c r="S768" s="239"/>
      <c r="T768" s="239"/>
      <c r="U768" s="240"/>
      <c r="V768" s="238"/>
      <c r="W768" s="242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  <c r="AK768" s="239"/>
      <c r="AL768" s="239"/>
      <c r="AM768" s="4"/>
      <c r="AN768" s="4"/>
    </row>
    <row r="769" ht="15.75" customHeight="1">
      <c r="A769" s="4"/>
      <c r="B769" s="4"/>
      <c r="C769" s="12"/>
      <c r="D769" s="4"/>
      <c r="E769" s="4"/>
      <c r="F769" s="4"/>
      <c r="G769" s="4"/>
      <c r="H769" s="4"/>
      <c r="I769" s="237"/>
      <c r="J769" s="238"/>
      <c r="K769" s="238"/>
      <c r="L769" s="239"/>
      <c r="M769" s="239"/>
      <c r="N769" s="239"/>
      <c r="O769" s="240"/>
      <c r="P769" s="238"/>
      <c r="Q769" s="241"/>
      <c r="R769" s="239"/>
      <c r="S769" s="239"/>
      <c r="T769" s="239"/>
      <c r="U769" s="240"/>
      <c r="V769" s="238"/>
      <c r="W769" s="242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  <c r="AK769" s="239"/>
      <c r="AL769" s="239"/>
      <c r="AM769" s="4"/>
      <c r="AN769" s="4"/>
    </row>
    <row r="770" ht="15.75" customHeight="1">
      <c r="A770" s="4"/>
      <c r="B770" s="4"/>
      <c r="C770" s="12"/>
      <c r="D770" s="4"/>
      <c r="E770" s="4"/>
      <c r="F770" s="4"/>
      <c r="G770" s="4"/>
      <c r="H770" s="4"/>
      <c r="I770" s="237"/>
      <c r="J770" s="238"/>
      <c r="K770" s="238"/>
      <c r="L770" s="239"/>
      <c r="M770" s="239"/>
      <c r="N770" s="239"/>
      <c r="O770" s="240"/>
      <c r="P770" s="238"/>
      <c r="Q770" s="241"/>
      <c r="R770" s="239"/>
      <c r="S770" s="239"/>
      <c r="T770" s="239"/>
      <c r="U770" s="240"/>
      <c r="V770" s="238"/>
      <c r="W770" s="242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  <c r="AK770" s="239"/>
      <c r="AL770" s="239"/>
      <c r="AM770" s="4"/>
      <c r="AN770" s="4"/>
    </row>
    <row r="771" ht="15.75" customHeight="1">
      <c r="A771" s="4"/>
      <c r="B771" s="4"/>
      <c r="C771" s="12"/>
      <c r="D771" s="4"/>
      <c r="E771" s="4"/>
      <c r="F771" s="4"/>
      <c r="G771" s="4"/>
      <c r="H771" s="4"/>
      <c r="I771" s="237"/>
      <c r="J771" s="238"/>
      <c r="K771" s="238"/>
      <c r="L771" s="239"/>
      <c r="M771" s="239"/>
      <c r="N771" s="239"/>
      <c r="O771" s="240"/>
      <c r="P771" s="238"/>
      <c r="Q771" s="241"/>
      <c r="R771" s="239"/>
      <c r="S771" s="239"/>
      <c r="T771" s="239"/>
      <c r="U771" s="240"/>
      <c r="V771" s="238"/>
      <c r="W771" s="242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  <c r="AK771" s="239"/>
      <c r="AL771" s="239"/>
      <c r="AM771" s="4"/>
      <c r="AN771" s="4"/>
    </row>
    <row r="772" ht="15.75" customHeight="1">
      <c r="A772" s="4"/>
      <c r="B772" s="4"/>
      <c r="C772" s="12"/>
      <c r="D772" s="4"/>
      <c r="E772" s="4"/>
      <c r="F772" s="4"/>
      <c r="G772" s="4"/>
      <c r="H772" s="4"/>
      <c r="I772" s="237"/>
      <c r="J772" s="238"/>
      <c r="K772" s="238"/>
      <c r="L772" s="239"/>
      <c r="M772" s="239"/>
      <c r="N772" s="239"/>
      <c r="O772" s="240"/>
      <c r="P772" s="238"/>
      <c r="Q772" s="241"/>
      <c r="R772" s="239"/>
      <c r="S772" s="239"/>
      <c r="T772" s="239"/>
      <c r="U772" s="240"/>
      <c r="V772" s="238"/>
      <c r="W772" s="242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  <c r="AK772" s="239"/>
      <c r="AL772" s="239"/>
      <c r="AM772" s="4"/>
      <c r="AN772" s="4"/>
    </row>
    <row r="773" ht="15.75" customHeight="1">
      <c r="A773" s="4"/>
      <c r="B773" s="4"/>
      <c r="C773" s="12"/>
      <c r="D773" s="4"/>
      <c r="E773" s="4"/>
      <c r="F773" s="4"/>
      <c r="G773" s="4"/>
      <c r="H773" s="4"/>
      <c r="I773" s="237"/>
      <c r="J773" s="238"/>
      <c r="K773" s="238"/>
      <c r="L773" s="239"/>
      <c r="M773" s="239"/>
      <c r="N773" s="239"/>
      <c r="O773" s="240"/>
      <c r="P773" s="238"/>
      <c r="Q773" s="241"/>
      <c r="R773" s="239"/>
      <c r="S773" s="239"/>
      <c r="T773" s="239"/>
      <c r="U773" s="240"/>
      <c r="V773" s="238"/>
      <c r="W773" s="242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  <c r="AK773" s="239"/>
      <c r="AL773" s="239"/>
      <c r="AM773" s="4"/>
      <c r="AN773" s="4"/>
    </row>
    <row r="774" ht="15.75" customHeight="1">
      <c r="A774" s="4"/>
      <c r="B774" s="4"/>
      <c r="C774" s="12"/>
      <c r="D774" s="4"/>
      <c r="E774" s="4"/>
      <c r="F774" s="4"/>
      <c r="G774" s="4"/>
      <c r="H774" s="4"/>
      <c r="I774" s="237"/>
      <c r="J774" s="238"/>
      <c r="K774" s="238"/>
      <c r="L774" s="239"/>
      <c r="M774" s="239"/>
      <c r="N774" s="239"/>
      <c r="O774" s="240"/>
      <c r="P774" s="238"/>
      <c r="Q774" s="241"/>
      <c r="R774" s="239"/>
      <c r="S774" s="239"/>
      <c r="T774" s="239"/>
      <c r="U774" s="240"/>
      <c r="V774" s="238"/>
      <c r="W774" s="242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  <c r="AK774" s="239"/>
      <c r="AL774" s="239"/>
      <c r="AM774" s="4"/>
      <c r="AN774" s="4"/>
    </row>
    <row r="775" ht="15.75" customHeight="1">
      <c r="A775" s="4"/>
      <c r="B775" s="4"/>
      <c r="C775" s="12"/>
      <c r="D775" s="4"/>
      <c r="E775" s="4"/>
      <c r="F775" s="4"/>
      <c r="G775" s="4"/>
      <c r="H775" s="4"/>
      <c r="I775" s="237"/>
      <c r="J775" s="238"/>
      <c r="K775" s="238"/>
      <c r="L775" s="239"/>
      <c r="M775" s="239"/>
      <c r="N775" s="239"/>
      <c r="O775" s="240"/>
      <c r="P775" s="238"/>
      <c r="Q775" s="241"/>
      <c r="R775" s="239"/>
      <c r="S775" s="239"/>
      <c r="T775" s="239"/>
      <c r="U775" s="240"/>
      <c r="V775" s="238"/>
      <c r="W775" s="242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  <c r="AK775" s="239"/>
      <c r="AL775" s="239"/>
      <c r="AM775" s="4"/>
      <c r="AN775" s="4"/>
    </row>
    <row r="776" ht="15.75" customHeight="1">
      <c r="A776" s="4"/>
      <c r="B776" s="4"/>
      <c r="C776" s="12"/>
      <c r="D776" s="4"/>
      <c r="E776" s="4"/>
      <c r="F776" s="4"/>
      <c r="G776" s="4"/>
      <c r="H776" s="4"/>
      <c r="I776" s="237"/>
      <c r="J776" s="238"/>
      <c r="K776" s="238"/>
      <c r="L776" s="239"/>
      <c r="M776" s="239"/>
      <c r="N776" s="239"/>
      <c r="O776" s="240"/>
      <c r="P776" s="238"/>
      <c r="Q776" s="241"/>
      <c r="R776" s="239"/>
      <c r="S776" s="239"/>
      <c r="T776" s="239"/>
      <c r="U776" s="240"/>
      <c r="V776" s="238"/>
      <c r="W776" s="242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  <c r="AK776" s="239"/>
      <c r="AL776" s="239"/>
      <c r="AM776" s="4"/>
      <c r="AN776" s="4"/>
    </row>
    <row r="777" ht="15.75" customHeight="1">
      <c r="A777" s="4"/>
      <c r="B777" s="4"/>
      <c r="C777" s="12"/>
      <c r="D777" s="4"/>
      <c r="E777" s="4"/>
      <c r="F777" s="4"/>
      <c r="G777" s="4"/>
      <c r="H777" s="4"/>
      <c r="I777" s="237"/>
      <c r="J777" s="238"/>
      <c r="K777" s="238"/>
      <c r="L777" s="239"/>
      <c r="M777" s="239"/>
      <c r="N777" s="239"/>
      <c r="O777" s="240"/>
      <c r="P777" s="238"/>
      <c r="Q777" s="241"/>
      <c r="R777" s="239"/>
      <c r="S777" s="239"/>
      <c r="T777" s="239"/>
      <c r="U777" s="240"/>
      <c r="V777" s="238"/>
      <c r="W777" s="242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  <c r="AK777" s="239"/>
      <c r="AL777" s="239"/>
      <c r="AM777" s="4"/>
      <c r="AN777" s="4"/>
    </row>
    <row r="778" ht="15.75" customHeight="1">
      <c r="A778" s="4"/>
      <c r="B778" s="4"/>
      <c r="C778" s="12"/>
      <c r="D778" s="4"/>
      <c r="E778" s="4"/>
      <c r="F778" s="4"/>
      <c r="G778" s="4"/>
      <c r="H778" s="4"/>
      <c r="I778" s="237"/>
      <c r="J778" s="238"/>
      <c r="K778" s="238"/>
      <c r="L778" s="239"/>
      <c r="M778" s="239"/>
      <c r="N778" s="239"/>
      <c r="O778" s="240"/>
      <c r="P778" s="238"/>
      <c r="Q778" s="241"/>
      <c r="R778" s="239"/>
      <c r="S778" s="239"/>
      <c r="T778" s="239"/>
      <c r="U778" s="240"/>
      <c r="V778" s="238"/>
      <c r="W778" s="242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  <c r="AK778" s="239"/>
      <c r="AL778" s="239"/>
      <c r="AM778" s="4"/>
      <c r="AN778" s="4"/>
    </row>
    <row r="779" ht="15.75" customHeight="1">
      <c r="A779" s="4"/>
      <c r="B779" s="4"/>
      <c r="C779" s="12"/>
      <c r="D779" s="4"/>
      <c r="E779" s="4"/>
      <c r="F779" s="4"/>
      <c r="G779" s="4"/>
      <c r="H779" s="4"/>
      <c r="I779" s="237"/>
      <c r="J779" s="238"/>
      <c r="K779" s="238"/>
      <c r="L779" s="239"/>
      <c r="M779" s="239"/>
      <c r="N779" s="239"/>
      <c r="O779" s="240"/>
      <c r="P779" s="238"/>
      <c r="Q779" s="241"/>
      <c r="R779" s="239"/>
      <c r="S779" s="239"/>
      <c r="T779" s="239"/>
      <c r="U779" s="240"/>
      <c r="V779" s="238"/>
      <c r="W779" s="242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  <c r="AK779" s="239"/>
      <c r="AL779" s="239"/>
      <c r="AM779" s="4"/>
      <c r="AN779" s="4"/>
    </row>
    <row r="780" ht="15.75" customHeight="1">
      <c r="A780" s="4"/>
      <c r="B780" s="4"/>
      <c r="C780" s="12"/>
      <c r="D780" s="4"/>
      <c r="E780" s="4"/>
      <c r="F780" s="4"/>
      <c r="G780" s="4"/>
      <c r="H780" s="4"/>
      <c r="I780" s="237"/>
      <c r="J780" s="238"/>
      <c r="K780" s="238"/>
      <c r="L780" s="239"/>
      <c r="M780" s="239"/>
      <c r="N780" s="239"/>
      <c r="O780" s="240"/>
      <c r="P780" s="238"/>
      <c r="Q780" s="241"/>
      <c r="R780" s="239"/>
      <c r="S780" s="239"/>
      <c r="T780" s="239"/>
      <c r="U780" s="240"/>
      <c r="V780" s="238"/>
      <c r="W780" s="242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  <c r="AK780" s="239"/>
      <c r="AL780" s="239"/>
      <c r="AM780" s="4"/>
      <c r="AN780" s="4"/>
    </row>
    <row r="781" ht="15.75" customHeight="1">
      <c r="A781" s="4"/>
      <c r="B781" s="4"/>
      <c r="C781" s="12"/>
      <c r="D781" s="4"/>
      <c r="E781" s="4"/>
      <c r="F781" s="4"/>
      <c r="G781" s="4"/>
      <c r="H781" s="4"/>
      <c r="I781" s="237"/>
      <c r="J781" s="238"/>
      <c r="K781" s="238"/>
      <c r="L781" s="239"/>
      <c r="M781" s="239"/>
      <c r="N781" s="239"/>
      <c r="O781" s="240"/>
      <c r="P781" s="238"/>
      <c r="Q781" s="241"/>
      <c r="R781" s="239"/>
      <c r="S781" s="239"/>
      <c r="T781" s="239"/>
      <c r="U781" s="240"/>
      <c r="V781" s="238"/>
      <c r="W781" s="242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  <c r="AK781" s="239"/>
      <c r="AL781" s="239"/>
      <c r="AM781" s="4"/>
      <c r="AN781" s="4"/>
    </row>
    <row r="782" ht="15.75" customHeight="1">
      <c r="A782" s="4"/>
      <c r="B782" s="4"/>
      <c r="C782" s="12"/>
      <c r="D782" s="4"/>
      <c r="E782" s="4"/>
      <c r="F782" s="4"/>
      <c r="G782" s="4"/>
      <c r="H782" s="4"/>
      <c r="I782" s="237"/>
      <c r="J782" s="238"/>
      <c r="K782" s="238"/>
      <c r="L782" s="239"/>
      <c r="M782" s="239"/>
      <c r="N782" s="239"/>
      <c r="O782" s="240"/>
      <c r="P782" s="238"/>
      <c r="Q782" s="241"/>
      <c r="R782" s="239"/>
      <c r="S782" s="239"/>
      <c r="T782" s="239"/>
      <c r="U782" s="240"/>
      <c r="V782" s="238"/>
      <c r="W782" s="242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  <c r="AK782" s="239"/>
      <c r="AL782" s="239"/>
      <c r="AM782" s="4"/>
      <c r="AN782" s="4"/>
    </row>
    <row r="783" ht="15.75" customHeight="1">
      <c r="A783" s="4"/>
      <c r="B783" s="4"/>
      <c r="C783" s="12"/>
      <c r="D783" s="4"/>
      <c r="E783" s="4"/>
      <c r="F783" s="4"/>
      <c r="G783" s="4"/>
      <c r="H783" s="4"/>
      <c r="I783" s="237"/>
      <c r="J783" s="238"/>
      <c r="K783" s="238"/>
      <c r="L783" s="239"/>
      <c r="M783" s="239"/>
      <c r="N783" s="239"/>
      <c r="O783" s="240"/>
      <c r="P783" s="238"/>
      <c r="Q783" s="241"/>
      <c r="R783" s="239"/>
      <c r="S783" s="239"/>
      <c r="T783" s="239"/>
      <c r="U783" s="240"/>
      <c r="V783" s="238"/>
      <c r="W783" s="242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  <c r="AK783" s="239"/>
      <c r="AL783" s="239"/>
      <c r="AM783" s="4"/>
      <c r="AN783" s="4"/>
    </row>
    <row r="784" ht="15.75" customHeight="1">
      <c r="A784" s="4"/>
      <c r="B784" s="4"/>
      <c r="C784" s="12"/>
      <c r="D784" s="4"/>
      <c r="E784" s="4"/>
      <c r="F784" s="4"/>
      <c r="G784" s="4"/>
      <c r="H784" s="4"/>
      <c r="I784" s="237"/>
      <c r="J784" s="238"/>
      <c r="K784" s="238"/>
      <c r="L784" s="239"/>
      <c r="M784" s="239"/>
      <c r="N784" s="239"/>
      <c r="O784" s="240"/>
      <c r="P784" s="238"/>
      <c r="Q784" s="241"/>
      <c r="R784" s="239"/>
      <c r="S784" s="239"/>
      <c r="T784" s="239"/>
      <c r="U784" s="240"/>
      <c r="V784" s="238"/>
      <c r="W784" s="242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  <c r="AK784" s="239"/>
      <c r="AL784" s="239"/>
      <c r="AM784" s="4"/>
      <c r="AN784" s="4"/>
    </row>
    <row r="785" ht="15.75" customHeight="1">
      <c r="A785" s="4"/>
      <c r="B785" s="4"/>
      <c r="C785" s="12"/>
      <c r="D785" s="4"/>
      <c r="E785" s="4"/>
      <c r="F785" s="4"/>
      <c r="G785" s="4"/>
      <c r="H785" s="4"/>
      <c r="I785" s="237"/>
      <c r="J785" s="238"/>
      <c r="K785" s="238"/>
      <c r="L785" s="239"/>
      <c r="M785" s="239"/>
      <c r="N785" s="239"/>
      <c r="O785" s="240"/>
      <c r="P785" s="238"/>
      <c r="Q785" s="241"/>
      <c r="R785" s="239"/>
      <c r="S785" s="239"/>
      <c r="T785" s="239"/>
      <c r="U785" s="240"/>
      <c r="V785" s="238"/>
      <c r="W785" s="242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  <c r="AK785" s="239"/>
      <c r="AL785" s="239"/>
      <c r="AM785" s="4"/>
      <c r="AN785" s="4"/>
    </row>
    <row r="786" ht="15.75" customHeight="1">
      <c r="A786" s="4"/>
      <c r="B786" s="4"/>
      <c r="C786" s="12"/>
      <c r="D786" s="4"/>
      <c r="E786" s="4"/>
      <c r="F786" s="4"/>
      <c r="G786" s="4"/>
      <c r="H786" s="4"/>
      <c r="I786" s="237"/>
      <c r="J786" s="238"/>
      <c r="K786" s="238"/>
      <c r="L786" s="239"/>
      <c r="M786" s="239"/>
      <c r="N786" s="239"/>
      <c r="O786" s="240"/>
      <c r="P786" s="238"/>
      <c r="Q786" s="241"/>
      <c r="R786" s="239"/>
      <c r="S786" s="239"/>
      <c r="T786" s="239"/>
      <c r="U786" s="240"/>
      <c r="V786" s="238"/>
      <c r="W786" s="242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  <c r="AK786" s="239"/>
      <c r="AL786" s="239"/>
      <c r="AM786" s="4"/>
      <c r="AN786" s="4"/>
    </row>
    <row r="787" ht="15.75" customHeight="1">
      <c r="A787" s="4"/>
      <c r="B787" s="4"/>
      <c r="C787" s="12"/>
      <c r="D787" s="4"/>
      <c r="E787" s="4"/>
      <c r="F787" s="4"/>
      <c r="G787" s="4"/>
      <c r="H787" s="4"/>
      <c r="I787" s="237"/>
      <c r="J787" s="238"/>
      <c r="K787" s="238"/>
      <c r="L787" s="239"/>
      <c r="M787" s="239"/>
      <c r="N787" s="239"/>
      <c r="O787" s="240"/>
      <c r="P787" s="238"/>
      <c r="Q787" s="241"/>
      <c r="R787" s="239"/>
      <c r="S787" s="239"/>
      <c r="T787" s="239"/>
      <c r="U787" s="240"/>
      <c r="V787" s="238"/>
      <c r="W787" s="242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  <c r="AK787" s="239"/>
      <c r="AL787" s="239"/>
      <c r="AM787" s="4"/>
      <c r="AN787" s="4"/>
    </row>
    <row r="788" ht="15.75" customHeight="1">
      <c r="A788" s="4"/>
      <c r="B788" s="4"/>
      <c r="C788" s="12"/>
      <c r="D788" s="4"/>
      <c r="E788" s="4"/>
      <c r="F788" s="4"/>
      <c r="G788" s="4"/>
      <c r="H788" s="4"/>
      <c r="I788" s="237"/>
      <c r="J788" s="238"/>
      <c r="K788" s="238"/>
      <c r="L788" s="239"/>
      <c r="M788" s="239"/>
      <c r="N788" s="239"/>
      <c r="O788" s="240"/>
      <c r="P788" s="238"/>
      <c r="Q788" s="241"/>
      <c r="R788" s="239"/>
      <c r="S788" s="239"/>
      <c r="T788" s="239"/>
      <c r="U788" s="240"/>
      <c r="V788" s="238"/>
      <c r="W788" s="242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  <c r="AK788" s="239"/>
      <c r="AL788" s="239"/>
      <c r="AM788" s="4"/>
      <c r="AN788" s="4"/>
    </row>
    <row r="789" ht="15.75" customHeight="1">
      <c r="A789" s="4"/>
      <c r="B789" s="4"/>
      <c r="C789" s="12"/>
      <c r="D789" s="4"/>
      <c r="E789" s="4"/>
      <c r="F789" s="4"/>
      <c r="G789" s="4"/>
      <c r="H789" s="4"/>
      <c r="I789" s="237"/>
      <c r="J789" s="238"/>
      <c r="K789" s="238"/>
      <c r="L789" s="239"/>
      <c r="M789" s="239"/>
      <c r="N789" s="239"/>
      <c r="O789" s="240"/>
      <c r="P789" s="238"/>
      <c r="Q789" s="241"/>
      <c r="R789" s="239"/>
      <c r="S789" s="239"/>
      <c r="T789" s="239"/>
      <c r="U789" s="240"/>
      <c r="V789" s="238"/>
      <c r="W789" s="242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  <c r="AK789" s="239"/>
      <c r="AL789" s="239"/>
      <c r="AM789" s="4"/>
      <c r="AN789" s="4"/>
    </row>
    <row r="790" ht="15.75" customHeight="1">
      <c r="A790" s="4"/>
      <c r="B790" s="4"/>
      <c r="C790" s="12"/>
      <c r="D790" s="4"/>
      <c r="E790" s="4"/>
      <c r="F790" s="4"/>
      <c r="G790" s="4"/>
      <c r="H790" s="4"/>
      <c r="I790" s="237"/>
      <c r="J790" s="238"/>
      <c r="K790" s="238"/>
      <c r="L790" s="239"/>
      <c r="M790" s="239"/>
      <c r="N790" s="239"/>
      <c r="O790" s="240"/>
      <c r="P790" s="238"/>
      <c r="Q790" s="241"/>
      <c r="R790" s="239"/>
      <c r="S790" s="239"/>
      <c r="T790" s="239"/>
      <c r="U790" s="240"/>
      <c r="V790" s="238"/>
      <c r="W790" s="242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  <c r="AK790" s="239"/>
      <c r="AL790" s="239"/>
      <c r="AM790" s="4"/>
      <c r="AN790" s="4"/>
    </row>
    <row r="791" ht="15.75" customHeight="1">
      <c r="A791" s="4"/>
      <c r="B791" s="4"/>
      <c r="C791" s="12"/>
      <c r="D791" s="4"/>
      <c r="E791" s="4"/>
      <c r="F791" s="4"/>
      <c r="G791" s="4"/>
      <c r="H791" s="4"/>
      <c r="I791" s="237"/>
      <c r="J791" s="238"/>
      <c r="K791" s="238"/>
      <c r="L791" s="239"/>
      <c r="M791" s="239"/>
      <c r="N791" s="239"/>
      <c r="O791" s="240"/>
      <c r="P791" s="238"/>
      <c r="Q791" s="241"/>
      <c r="R791" s="239"/>
      <c r="S791" s="239"/>
      <c r="T791" s="239"/>
      <c r="U791" s="240"/>
      <c r="V791" s="238"/>
      <c r="W791" s="242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  <c r="AK791" s="239"/>
      <c r="AL791" s="239"/>
      <c r="AM791" s="4"/>
      <c r="AN791" s="4"/>
    </row>
    <row r="792" ht="15.75" customHeight="1">
      <c r="A792" s="4"/>
      <c r="B792" s="4"/>
      <c r="C792" s="12"/>
      <c r="D792" s="4"/>
      <c r="E792" s="4"/>
      <c r="F792" s="4"/>
      <c r="G792" s="4"/>
      <c r="H792" s="4"/>
      <c r="I792" s="237"/>
      <c r="J792" s="238"/>
      <c r="K792" s="238"/>
      <c r="L792" s="239"/>
      <c r="M792" s="239"/>
      <c r="N792" s="239"/>
      <c r="O792" s="240"/>
      <c r="P792" s="238"/>
      <c r="Q792" s="241"/>
      <c r="R792" s="239"/>
      <c r="S792" s="239"/>
      <c r="T792" s="239"/>
      <c r="U792" s="240"/>
      <c r="V792" s="238"/>
      <c r="W792" s="242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  <c r="AK792" s="239"/>
      <c r="AL792" s="239"/>
      <c r="AM792" s="4"/>
      <c r="AN792" s="4"/>
    </row>
    <row r="793" ht="15.75" customHeight="1">
      <c r="A793" s="4"/>
      <c r="B793" s="4"/>
      <c r="C793" s="12"/>
      <c r="D793" s="4"/>
      <c r="E793" s="4"/>
      <c r="F793" s="4"/>
      <c r="G793" s="4"/>
      <c r="H793" s="4"/>
      <c r="I793" s="237"/>
      <c r="J793" s="238"/>
      <c r="K793" s="238"/>
      <c r="L793" s="239"/>
      <c r="M793" s="239"/>
      <c r="N793" s="239"/>
      <c r="O793" s="240"/>
      <c r="P793" s="238"/>
      <c r="Q793" s="241"/>
      <c r="R793" s="239"/>
      <c r="S793" s="239"/>
      <c r="T793" s="239"/>
      <c r="U793" s="240"/>
      <c r="V793" s="238"/>
      <c r="W793" s="242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  <c r="AK793" s="239"/>
      <c r="AL793" s="239"/>
      <c r="AM793" s="4"/>
      <c r="AN793" s="4"/>
    </row>
    <row r="794" ht="15.75" customHeight="1">
      <c r="A794" s="4"/>
      <c r="B794" s="4"/>
      <c r="C794" s="12"/>
      <c r="D794" s="4"/>
      <c r="E794" s="4"/>
      <c r="F794" s="4"/>
      <c r="G794" s="4"/>
      <c r="H794" s="4"/>
      <c r="I794" s="237"/>
      <c r="J794" s="238"/>
      <c r="K794" s="238"/>
      <c r="L794" s="239"/>
      <c r="M794" s="239"/>
      <c r="N794" s="239"/>
      <c r="O794" s="240"/>
      <c r="P794" s="238"/>
      <c r="Q794" s="241"/>
      <c r="R794" s="239"/>
      <c r="S794" s="239"/>
      <c r="T794" s="239"/>
      <c r="U794" s="240"/>
      <c r="V794" s="238"/>
      <c r="W794" s="242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  <c r="AK794" s="239"/>
      <c r="AL794" s="239"/>
      <c r="AM794" s="4"/>
      <c r="AN794" s="4"/>
    </row>
    <row r="795" ht="15.75" customHeight="1">
      <c r="A795" s="4"/>
      <c r="B795" s="4"/>
      <c r="C795" s="12"/>
      <c r="D795" s="4"/>
      <c r="E795" s="4"/>
      <c r="F795" s="4"/>
      <c r="G795" s="4"/>
      <c r="H795" s="4"/>
      <c r="I795" s="237"/>
      <c r="J795" s="238"/>
      <c r="K795" s="238"/>
      <c r="L795" s="239"/>
      <c r="M795" s="239"/>
      <c r="N795" s="239"/>
      <c r="O795" s="240"/>
      <c r="P795" s="238"/>
      <c r="Q795" s="241"/>
      <c r="R795" s="239"/>
      <c r="S795" s="239"/>
      <c r="T795" s="239"/>
      <c r="U795" s="240"/>
      <c r="V795" s="238"/>
      <c r="W795" s="242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  <c r="AK795" s="239"/>
      <c r="AL795" s="239"/>
      <c r="AM795" s="4"/>
      <c r="AN795" s="4"/>
    </row>
    <row r="796" ht="15.75" customHeight="1">
      <c r="A796" s="4"/>
      <c r="B796" s="4"/>
      <c r="C796" s="12"/>
      <c r="D796" s="4"/>
      <c r="E796" s="4"/>
      <c r="F796" s="4"/>
      <c r="G796" s="4"/>
      <c r="H796" s="4"/>
      <c r="I796" s="237"/>
      <c r="J796" s="238"/>
      <c r="K796" s="238"/>
      <c r="L796" s="239"/>
      <c r="M796" s="239"/>
      <c r="N796" s="239"/>
      <c r="O796" s="240"/>
      <c r="P796" s="238"/>
      <c r="Q796" s="241"/>
      <c r="R796" s="239"/>
      <c r="S796" s="239"/>
      <c r="T796" s="239"/>
      <c r="U796" s="240"/>
      <c r="V796" s="238"/>
      <c r="W796" s="242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  <c r="AK796" s="239"/>
      <c r="AL796" s="239"/>
      <c r="AM796" s="4"/>
      <c r="AN796" s="4"/>
    </row>
    <row r="797" ht="15.75" customHeight="1">
      <c r="A797" s="4"/>
      <c r="B797" s="4"/>
      <c r="C797" s="12"/>
      <c r="D797" s="4"/>
      <c r="E797" s="4"/>
      <c r="F797" s="4"/>
      <c r="G797" s="4"/>
      <c r="H797" s="4"/>
      <c r="I797" s="237"/>
      <c r="J797" s="238"/>
      <c r="K797" s="238"/>
      <c r="L797" s="239"/>
      <c r="M797" s="239"/>
      <c r="N797" s="239"/>
      <c r="O797" s="240"/>
      <c r="P797" s="238"/>
      <c r="Q797" s="241"/>
      <c r="R797" s="239"/>
      <c r="S797" s="239"/>
      <c r="T797" s="239"/>
      <c r="U797" s="240"/>
      <c r="V797" s="238"/>
      <c r="W797" s="242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  <c r="AK797" s="239"/>
      <c r="AL797" s="239"/>
      <c r="AM797" s="4"/>
      <c r="AN797" s="4"/>
    </row>
    <row r="798" ht="15.75" customHeight="1">
      <c r="A798" s="4"/>
      <c r="B798" s="4"/>
      <c r="C798" s="12"/>
      <c r="D798" s="4"/>
      <c r="E798" s="4"/>
      <c r="F798" s="4"/>
      <c r="G798" s="4"/>
      <c r="H798" s="4"/>
      <c r="I798" s="237"/>
      <c r="J798" s="238"/>
      <c r="K798" s="238"/>
      <c r="L798" s="239"/>
      <c r="M798" s="239"/>
      <c r="N798" s="239"/>
      <c r="O798" s="240"/>
      <c r="P798" s="238"/>
      <c r="Q798" s="241"/>
      <c r="R798" s="239"/>
      <c r="S798" s="239"/>
      <c r="T798" s="239"/>
      <c r="U798" s="240"/>
      <c r="V798" s="238"/>
      <c r="W798" s="242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  <c r="AK798" s="239"/>
      <c r="AL798" s="239"/>
      <c r="AM798" s="4"/>
      <c r="AN798" s="4"/>
    </row>
    <row r="799" ht="15.75" customHeight="1">
      <c r="A799" s="4"/>
      <c r="B799" s="4"/>
      <c r="C799" s="12"/>
      <c r="D799" s="4"/>
      <c r="E799" s="4"/>
      <c r="F799" s="4"/>
      <c r="G799" s="4"/>
      <c r="H799" s="4"/>
      <c r="I799" s="237"/>
      <c r="J799" s="238"/>
      <c r="K799" s="238"/>
      <c r="L799" s="239"/>
      <c r="M799" s="239"/>
      <c r="N799" s="239"/>
      <c r="O799" s="240"/>
      <c r="P799" s="238"/>
      <c r="Q799" s="241"/>
      <c r="R799" s="239"/>
      <c r="S799" s="239"/>
      <c r="T799" s="239"/>
      <c r="U799" s="240"/>
      <c r="V799" s="238"/>
      <c r="W799" s="242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  <c r="AK799" s="239"/>
      <c r="AL799" s="239"/>
      <c r="AM799" s="4"/>
      <c r="AN799" s="4"/>
    </row>
    <row r="800" ht="15.75" customHeight="1">
      <c r="A800" s="4"/>
      <c r="B800" s="4"/>
      <c r="C800" s="12"/>
      <c r="D800" s="4"/>
      <c r="E800" s="4"/>
      <c r="F800" s="4"/>
      <c r="G800" s="4"/>
      <c r="H800" s="4"/>
      <c r="I800" s="237"/>
      <c r="J800" s="238"/>
      <c r="K800" s="238"/>
      <c r="L800" s="239"/>
      <c r="M800" s="239"/>
      <c r="N800" s="239"/>
      <c r="O800" s="240"/>
      <c r="P800" s="238"/>
      <c r="Q800" s="241"/>
      <c r="R800" s="239"/>
      <c r="S800" s="239"/>
      <c r="T800" s="239"/>
      <c r="U800" s="240"/>
      <c r="V800" s="238"/>
      <c r="W800" s="242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  <c r="AK800" s="239"/>
      <c r="AL800" s="239"/>
      <c r="AM800" s="4"/>
      <c r="AN800" s="4"/>
    </row>
    <row r="801" ht="15.75" customHeight="1">
      <c r="A801" s="4"/>
      <c r="B801" s="4"/>
      <c r="C801" s="12"/>
      <c r="D801" s="4"/>
      <c r="E801" s="4"/>
      <c r="F801" s="4"/>
      <c r="G801" s="4"/>
      <c r="H801" s="4"/>
      <c r="I801" s="237"/>
      <c r="J801" s="238"/>
      <c r="K801" s="238"/>
      <c r="L801" s="239"/>
      <c r="M801" s="239"/>
      <c r="N801" s="239"/>
      <c r="O801" s="240"/>
      <c r="P801" s="238"/>
      <c r="Q801" s="241"/>
      <c r="R801" s="239"/>
      <c r="S801" s="239"/>
      <c r="T801" s="239"/>
      <c r="U801" s="240"/>
      <c r="V801" s="238"/>
      <c r="W801" s="242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  <c r="AK801" s="239"/>
      <c r="AL801" s="239"/>
      <c r="AM801" s="4"/>
      <c r="AN801" s="4"/>
    </row>
    <row r="802" ht="15.75" customHeight="1">
      <c r="A802" s="4"/>
      <c r="B802" s="4"/>
      <c r="C802" s="12"/>
      <c r="D802" s="4"/>
      <c r="E802" s="4"/>
      <c r="F802" s="4"/>
      <c r="G802" s="4"/>
      <c r="H802" s="4"/>
      <c r="I802" s="237"/>
      <c r="J802" s="238"/>
      <c r="K802" s="238"/>
      <c r="L802" s="239"/>
      <c r="M802" s="239"/>
      <c r="N802" s="239"/>
      <c r="O802" s="240"/>
      <c r="P802" s="238"/>
      <c r="Q802" s="241"/>
      <c r="R802" s="239"/>
      <c r="S802" s="239"/>
      <c r="T802" s="239"/>
      <c r="U802" s="240"/>
      <c r="V802" s="238"/>
      <c r="W802" s="242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  <c r="AK802" s="239"/>
      <c r="AL802" s="239"/>
      <c r="AM802" s="4"/>
      <c r="AN802" s="4"/>
    </row>
    <row r="803" ht="15.75" customHeight="1">
      <c r="A803" s="4"/>
      <c r="B803" s="4"/>
      <c r="C803" s="12"/>
      <c r="D803" s="4"/>
      <c r="E803" s="4"/>
      <c r="F803" s="4"/>
      <c r="G803" s="4"/>
      <c r="H803" s="4"/>
      <c r="I803" s="237"/>
      <c r="J803" s="238"/>
      <c r="K803" s="238"/>
      <c r="L803" s="239"/>
      <c r="M803" s="239"/>
      <c r="N803" s="239"/>
      <c r="O803" s="240"/>
      <c r="P803" s="238"/>
      <c r="Q803" s="241"/>
      <c r="R803" s="239"/>
      <c r="S803" s="239"/>
      <c r="T803" s="239"/>
      <c r="U803" s="240"/>
      <c r="V803" s="238"/>
      <c r="W803" s="242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  <c r="AK803" s="239"/>
      <c r="AL803" s="239"/>
      <c r="AM803" s="4"/>
      <c r="AN803" s="4"/>
    </row>
    <row r="804" ht="15.75" customHeight="1">
      <c r="A804" s="4"/>
      <c r="B804" s="4"/>
      <c r="C804" s="12"/>
      <c r="D804" s="4"/>
      <c r="E804" s="4"/>
      <c r="F804" s="4"/>
      <c r="G804" s="4"/>
      <c r="H804" s="4"/>
      <c r="I804" s="237"/>
      <c r="J804" s="238"/>
      <c r="K804" s="238"/>
      <c r="L804" s="239"/>
      <c r="M804" s="239"/>
      <c r="N804" s="239"/>
      <c r="O804" s="240"/>
      <c r="P804" s="238"/>
      <c r="Q804" s="241"/>
      <c r="R804" s="239"/>
      <c r="S804" s="239"/>
      <c r="T804" s="239"/>
      <c r="U804" s="240"/>
      <c r="V804" s="238"/>
      <c r="W804" s="242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  <c r="AK804" s="239"/>
      <c r="AL804" s="239"/>
      <c r="AM804" s="4"/>
      <c r="AN804" s="4"/>
    </row>
    <row r="805" ht="15.75" customHeight="1">
      <c r="A805" s="4"/>
      <c r="B805" s="4"/>
      <c r="C805" s="12"/>
      <c r="D805" s="4"/>
      <c r="E805" s="4"/>
      <c r="F805" s="4"/>
      <c r="G805" s="4"/>
      <c r="H805" s="4"/>
      <c r="I805" s="237"/>
      <c r="J805" s="238"/>
      <c r="K805" s="238"/>
      <c r="L805" s="239"/>
      <c r="M805" s="239"/>
      <c r="N805" s="239"/>
      <c r="O805" s="240"/>
      <c r="P805" s="238"/>
      <c r="Q805" s="241"/>
      <c r="R805" s="239"/>
      <c r="S805" s="239"/>
      <c r="T805" s="239"/>
      <c r="U805" s="240"/>
      <c r="V805" s="238"/>
      <c r="W805" s="242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  <c r="AK805" s="239"/>
      <c r="AL805" s="239"/>
      <c r="AM805" s="4"/>
      <c r="AN805" s="4"/>
    </row>
    <row r="806" ht="15.75" customHeight="1">
      <c r="A806" s="4"/>
      <c r="B806" s="4"/>
      <c r="C806" s="12"/>
      <c r="D806" s="4"/>
      <c r="E806" s="4"/>
      <c r="F806" s="4"/>
      <c r="G806" s="4"/>
      <c r="H806" s="4"/>
      <c r="I806" s="237"/>
      <c r="J806" s="238"/>
      <c r="K806" s="238"/>
      <c r="L806" s="239"/>
      <c r="M806" s="239"/>
      <c r="N806" s="239"/>
      <c r="O806" s="240"/>
      <c r="P806" s="238"/>
      <c r="Q806" s="241"/>
      <c r="R806" s="239"/>
      <c r="S806" s="239"/>
      <c r="T806" s="239"/>
      <c r="U806" s="240"/>
      <c r="V806" s="238"/>
      <c r="W806" s="242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  <c r="AK806" s="239"/>
      <c r="AL806" s="239"/>
      <c r="AM806" s="4"/>
      <c r="AN806" s="4"/>
    </row>
    <row r="807" ht="15.75" customHeight="1">
      <c r="A807" s="4"/>
      <c r="B807" s="4"/>
      <c r="C807" s="12"/>
      <c r="D807" s="4"/>
      <c r="E807" s="4"/>
      <c r="F807" s="4"/>
      <c r="G807" s="4"/>
      <c r="H807" s="4"/>
      <c r="I807" s="237"/>
      <c r="J807" s="238"/>
      <c r="K807" s="238"/>
      <c r="L807" s="239"/>
      <c r="M807" s="239"/>
      <c r="N807" s="239"/>
      <c r="O807" s="240"/>
      <c r="P807" s="238"/>
      <c r="Q807" s="241"/>
      <c r="R807" s="239"/>
      <c r="S807" s="239"/>
      <c r="T807" s="239"/>
      <c r="U807" s="240"/>
      <c r="V807" s="238"/>
      <c r="W807" s="242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  <c r="AK807" s="239"/>
      <c r="AL807" s="239"/>
      <c r="AM807" s="4"/>
      <c r="AN807" s="4"/>
    </row>
    <row r="808" ht="15.75" customHeight="1">
      <c r="A808" s="4"/>
      <c r="B808" s="4"/>
      <c r="C808" s="12"/>
      <c r="D808" s="4"/>
      <c r="E808" s="4"/>
      <c r="F808" s="4"/>
      <c r="G808" s="4"/>
      <c r="H808" s="4"/>
      <c r="I808" s="237"/>
      <c r="J808" s="238"/>
      <c r="K808" s="238"/>
      <c r="L808" s="239"/>
      <c r="M808" s="239"/>
      <c r="N808" s="239"/>
      <c r="O808" s="240"/>
      <c r="P808" s="238"/>
      <c r="Q808" s="241"/>
      <c r="R808" s="239"/>
      <c r="S808" s="239"/>
      <c r="T808" s="239"/>
      <c r="U808" s="240"/>
      <c r="V808" s="238"/>
      <c r="W808" s="242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  <c r="AK808" s="239"/>
      <c r="AL808" s="239"/>
      <c r="AM808" s="4"/>
      <c r="AN808" s="4"/>
    </row>
    <row r="809" ht="15.75" customHeight="1">
      <c r="A809" s="4"/>
      <c r="B809" s="4"/>
      <c r="C809" s="12"/>
      <c r="D809" s="4"/>
      <c r="E809" s="4"/>
      <c r="F809" s="4"/>
      <c r="G809" s="4"/>
      <c r="H809" s="4"/>
      <c r="I809" s="237"/>
      <c r="J809" s="238"/>
      <c r="K809" s="238"/>
      <c r="L809" s="239"/>
      <c r="M809" s="239"/>
      <c r="N809" s="239"/>
      <c r="O809" s="240"/>
      <c r="P809" s="238"/>
      <c r="Q809" s="241"/>
      <c r="R809" s="239"/>
      <c r="S809" s="239"/>
      <c r="T809" s="239"/>
      <c r="U809" s="240"/>
      <c r="V809" s="238"/>
      <c r="W809" s="242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  <c r="AK809" s="239"/>
      <c r="AL809" s="239"/>
      <c r="AM809" s="4"/>
      <c r="AN809" s="4"/>
    </row>
    <row r="810" ht="15.75" customHeight="1">
      <c r="A810" s="4"/>
      <c r="B810" s="4"/>
      <c r="C810" s="12"/>
      <c r="D810" s="4"/>
      <c r="E810" s="4"/>
      <c r="F810" s="4"/>
      <c r="G810" s="4"/>
      <c r="H810" s="4"/>
      <c r="I810" s="237"/>
      <c r="J810" s="238"/>
      <c r="K810" s="238"/>
      <c r="L810" s="239"/>
      <c r="M810" s="239"/>
      <c r="N810" s="239"/>
      <c r="O810" s="240"/>
      <c r="P810" s="238"/>
      <c r="Q810" s="241"/>
      <c r="R810" s="239"/>
      <c r="S810" s="239"/>
      <c r="T810" s="239"/>
      <c r="U810" s="240"/>
      <c r="V810" s="238"/>
      <c r="W810" s="242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  <c r="AK810" s="239"/>
      <c r="AL810" s="239"/>
      <c r="AM810" s="4"/>
      <c r="AN810" s="4"/>
    </row>
    <row r="811" ht="15.75" customHeight="1">
      <c r="A811" s="4"/>
      <c r="B811" s="4"/>
      <c r="C811" s="12"/>
      <c r="D811" s="4"/>
      <c r="E811" s="4"/>
      <c r="F811" s="4"/>
      <c r="G811" s="4"/>
      <c r="H811" s="4"/>
      <c r="I811" s="237"/>
      <c r="J811" s="238"/>
      <c r="K811" s="238"/>
      <c r="L811" s="239"/>
      <c r="M811" s="239"/>
      <c r="N811" s="239"/>
      <c r="O811" s="240"/>
      <c r="P811" s="238"/>
      <c r="Q811" s="241"/>
      <c r="R811" s="239"/>
      <c r="S811" s="239"/>
      <c r="T811" s="239"/>
      <c r="U811" s="240"/>
      <c r="V811" s="238"/>
      <c r="W811" s="242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  <c r="AK811" s="239"/>
      <c r="AL811" s="239"/>
      <c r="AM811" s="4"/>
      <c r="AN811" s="4"/>
    </row>
    <row r="812" ht="15.75" customHeight="1">
      <c r="A812" s="4"/>
      <c r="B812" s="4"/>
      <c r="C812" s="12"/>
      <c r="D812" s="4"/>
      <c r="E812" s="4"/>
      <c r="F812" s="4"/>
      <c r="G812" s="4"/>
      <c r="H812" s="4"/>
      <c r="I812" s="237"/>
      <c r="J812" s="238"/>
      <c r="K812" s="238"/>
      <c r="L812" s="239"/>
      <c r="M812" s="239"/>
      <c r="N812" s="239"/>
      <c r="O812" s="240"/>
      <c r="P812" s="238"/>
      <c r="Q812" s="241"/>
      <c r="R812" s="239"/>
      <c r="S812" s="239"/>
      <c r="T812" s="239"/>
      <c r="U812" s="240"/>
      <c r="V812" s="238"/>
      <c r="W812" s="242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  <c r="AK812" s="239"/>
      <c r="AL812" s="239"/>
      <c r="AM812" s="4"/>
      <c r="AN812" s="4"/>
    </row>
    <row r="813" ht="15.75" customHeight="1">
      <c r="A813" s="4"/>
      <c r="B813" s="4"/>
      <c r="C813" s="12"/>
      <c r="D813" s="4"/>
      <c r="E813" s="4"/>
      <c r="F813" s="4"/>
      <c r="G813" s="4"/>
      <c r="H813" s="4"/>
      <c r="I813" s="237"/>
      <c r="J813" s="238"/>
      <c r="K813" s="238"/>
      <c r="L813" s="239"/>
      <c r="M813" s="239"/>
      <c r="N813" s="239"/>
      <c r="O813" s="240"/>
      <c r="P813" s="238"/>
      <c r="Q813" s="241"/>
      <c r="R813" s="239"/>
      <c r="S813" s="239"/>
      <c r="T813" s="239"/>
      <c r="U813" s="240"/>
      <c r="V813" s="238"/>
      <c r="W813" s="242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  <c r="AK813" s="239"/>
      <c r="AL813" s="239"/>
      <c r="AM813" s="4"/>
      <c r="AN813" s="4"/>
    </row>
    <row r="814" ht="15.75" customHeight="1">
      <c r="A814" s="4"/>
      <c r="B814" s="4"/>
      <c r="C814" s="12"/>
      <c r="D814" s="4"/>
      <c r="E814" s="4"/>
      <c r="F814" s="4"/>
      <c r="G814" s="4"/>
      <c r="H814" s="4"/>
      <c r="I814" s="237"/>
      <c r="J814" s="238"/>
      <c r="K814" s="238"/>
      <c r="L814" s="239"/>
      <c r="M814" s="239"/>
      <c r="N814" s="239"/>
      <c r="O814" s="240"/>
      <c r="P814" s="238"/>
      <c r="Q814" s="241"/>
      <c r="R814" s="239"/>
      <c r="S814" s="239"/>
      <c r="T814" s="239"/>
      <c r="U814" s="240"/>
      <c r="V814" s="238"/>
      <c r="W814" s="242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  <c r="AK814" s="239"/>
      <c r="AL814" s="239"/>
      <c r="AM814" s="4"/>
      <c r="AN814" s="4"/>
    </row>
    <row r="815" ht="15.75" customHeight="1">
      <c r="A815" s="4"/>
      <c r="B815" s="4"/>
      <c r="C815" s="12"/>
      <c r="D815" s="4"/>
      <c r="E815" s="4"/>
      <c r="F815" s="4"/>
      <c r="G815" s="4"/>
      <c r="H815" s="4"/>
      <c r="I815" s="237"/>
      <c r="J815" s="238"/>
      <c r="K815" s="238"/>
      <c r="L815" s="239"/>
      <c r="M815" s="239"/>
      <c r="N815" s="239"/>
      <c r="O815" s="240"/>
      <c r="P815" s="238"/>
      <c r="Q815" s="241"/>
      <c r="R815" s="239"/>
      <c r="S815" s="239"/>
      <c r="T815" s="239"/>
      <c r="U815" s="240"/>
      <c r="V815" s="238"/>
      <c r="W815" s="242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  <c r="AK815" s="239"/>
      <c r="AL815" s="239"/>
      <c r="AM815" s="4"/>
      <c r="AN815" s="4"/>
    </row>
    <row r="816" ht="15.75" customHeight="1">
      <c r="A816" s="4"/>
      <c r="B816" s="4"/>
      <c r="C816" s="12"/>
      <c r="D816" s="4"/>
      <c r="E816" s="4"/>
      <c r="F816" s="4"/>
      <c r="G816" s="4"/>
      <c r="H816" s="4"/>
      <c r="I816" s="237"/>
      <c r="J816" s="238"/>
      <c r="K816" s="238"/>
      <c r="L816" s="239"/>
      <c r="M816" s="239"/>
      <c r="N816" s="239"/>
      <c r="O816" s="240"/>
      <c r="P816" s="238"/>
      <c r="Q816" s="241"/>
      <c r="R816" s="239"/>
      <c r="S816" s="239"/>
      <c r="T816" s="239"/>
      <c r="U816" s="240"/>
      <c r="V816" s="238"/>
      <c r="W816" s="242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  <c r="AK816" s="239"/>
      <c r="AL816" s="239"/>
      <c r="AM816" s="4"/>
      <c r="AN816" s="4"/>
    </row>
    <row r="817" ht="15.75" customHeight="1">
      <c r="A817" s="4"/>
      <c r="B817" s="4"/>
      <c r="C817" s="12"/>
      <c r="D817" s="4"/>
      <c r="E817" s="4"/>
      <c r="F817" s="4"/>
      <c r="G817" s="4"/>
      <c r="H817" s="4"/>
      <c r="I817" s="237"/>
      <c r="J817" s="238"/>
      <c r="K817" s="238"/>
      <c r="L817" s="239"/>
      <c r="M817" s="239"/>
      <c r="N817" s="239"/>
      <c r="O817" s="240"/>
      <c r="P817" s="238"/>
      <c r="Q817" s="241"/>
      <c r="R817" s="239"/>
      <c r="S817" s="239"/>
      <c r="T817" s="239"/>
      <c r="U817" s="240"/>
      <c r="V817" s="238"/>
      <c r="W817" s="242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  <c r="AK817" s="239"/>
      <c r="AL817" s="239"/>
      <c r="AM817" s="4"/>
      <c r="AN817" s="4"/>
    </row>
    <row r="818" ht="15.75" customHeight="1">
      <c r="A818" s="4"/>
      <c r="B818" s="4"/>
      <c r="C818" s="12"/>
      <c r="D818" s="4"/>
      <c r="E818" s="4"/>
      <c r="F818" s="4"/>
      <c r="G818" s="4"/>
      <c r="H818" s="4"/>
      <c r="I818" s="237"/>
      <c r="J818" s="238"/>
      <c r="K818" s="238"/>
      <c r="L818" s="239"/>
      <c r="M818" s="239"/>
      <c r="N818" s="239"/>
      <c r="O818" s="240"/>
      <c r="P818" s="238"/>
      <c r="Q818" s="241"/>
      <c r="R818" s="239"/>
      <c r="S818" s="239"/>
      <c r="T818" s="239"/>
      <c r="U818" s="240"/>
      <c r="V818" s="238"/>
      <c r="W818" s="242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  <c r="AK818" s="239"/>
      <c r="AL818" s="239"/>
      <c r="AM818" s="4"/>
      <c r="AN818" s="4"/>
    </row>
    <row r="819" ht="15.75" customHeight="1">
      <c r="A819" s="4"/>
      <c r="B819" s="4"/>
      <c r="C819" s="12"/>
      <c r="D819" s="4"/>
      <c r="E819" s="4"/>
      <c r="F819" s="4"/>
      <c r="G819" s="4"/>
      <c r="H819" s="4"/>
      <c r="I819" s="237"/>
      <c r="J819" s="238"/>
      <c r="K819" s="238"/>
      <c r="L819" s="239"/>
      <c r="M819" s="239"/>
      <c r="N819" s="239"/>
      <c r="O819" s="240"/>
      <c r="P819" s="238"/>
      <c r="Q819" s="241"/>
      <c r="R819" s="239"/>
      <c r="S819" s="239"/>
      <c r="T819" s="239"/>
      <c r="U819" s="240"/>
      <c r="V819" s="238"/>
      <c r="W819" s="242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  <c r="AK819" s="239"/>
      <c r="AL819" s="239"/>
      <c r="AM819" s="4"/>
      <c r="AN819" s="4"/>
    </row>
    <row r="820" ht="15.75" customHeight="1">
      <c r="A820" s="4"/>
      <c r="B820" s="4"/>
      <c r="C820" s="12"/>
      <c r="D820" s="4"/>
      <c r="E820" s="4"/>
      <c r="F820" s="4"/>
      <c r="G820" s="4"/>
      <c r="H820" s="4"/>
      <c r="I820" s="237"/>
      <c r="J820" s="238"/>
      <c r="K820" s="238"/>
      <c r="L820" s="239"/>
      <c r="M820" s="239"/>
      <c r="N820" s="239"/>
      <c r="O820" s="240"/>
      <c r="P820" s="238"/>
      <c r="Q820" s="241"/>
      <c r="R820" s="239"/>
      <c r="S820" s="239"/>
      <c r="T820" s="239"/>
      <c r="U820" s="240"/>
      <c r="V820" s="238"/>
      <c r="W820" s="242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  <c r="AK820" s="239"/>
      <c r="AL820" s="239"/>
      <c r="AM820" s="4"/>
      <c r="AN820" s="4"/>
    </row>
    <row r="821" ht="15.75" customHeight="1">
      <c r="A821" s="4"/>
      <c r="B821" s="4"/>
      <c r="C821" s="12"/>
      <c r="D821" s="4"/>
      <c r="E821" s="4"/>
      <c r="F821" s="4"/>
      <c r="G821" s="4"/>
      <c r="H821" s="4"/>
      <c r="I821" s="237"/>
      <c r="J821" s="238"/>
      <c r="K821" s="238"/>
      <c r="L821" s="239"/>
      <c r="M821" s="239"/>
      <c r="N821" s="239"/>
      <c r="O821" s="240"/>
      <c r="P821" s="238"/>
      <c r="Q821" s="241"/>
      <c r="R821" s="239"/>
      <c r="S821" s="239"/>
      <c r="T821" s="239"/>
      <c r="U821" s="240"/>
      <c r="V821" s="238"/>
      <c r="W821" s="242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  <c r="AK821" s="239"/>
      <c r="AL821" s="239"/>
      <c r="AM821" s="4"/>
      <c r="AN821" s="4"/>
    </row>
    <row r="822" ht="15.75" customHeight="1">
      <c r="A822" s="4"/>
      <c r="B822" s="4"/>
      <c r="C822" s="12"/>
      <c r="D822" s="4"/>
      <c r="E822" s="4"/>
      <c r="F822" s="4"/>
      <c r="G822" s="4"/>
      <c r="H822" s="4"/>
      <c r="I822" s="237"/>
      <c r="J822" s="238"/>
      <c r="K822" s="238"/>
      <c r="L822" s="239"/>
      <c r="M822" s="239"/>
      <c r="N822" s="239"/>
      <c r="O822" s="240"/>
      <c r="P822" s="238"/>
      <c r="Q822" s="241"/>
      <c r="R822" s="239"/>
      <c r="S822" s="239"/>
      <c r="T822" s="239"/>
      <c r="U822" s="240"/>
      <c r="V822" s="238"/>
      <c r="W822" s="242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  <c r="AK822" s="239"/>
      <c r="AL822" s="239"/>
      <c r="AM822" s="4"/>
      <c r="AN822" s="4"/>
    </row>
    <row r="823" ht="15.75" customHeight="1">
      <c r="A823" s="4"/>
      <c r="B823" s="4"/>
      <c r="C823" s="12"/>
      <c r="D823" s="4"/>
      <c r="E823" s="4"/>
      <c r="F823" s="4"/>
      <c r="G823" s="4"/>
      <c r="H823" s="4"/>
      <c r="I823" s="237"/>
      <c r="J823" s="238"/>
      <c r="K823" s="238"/>
      <c r="L823" s="239"/>
      <c r="M823" s="239"/>
      <c r="N823" s="239"/>
      <c r="O823" s="240"/>
      <c r="P823" s="238"/>
      <c r="Q823" s="241"/>
      <c r="R823" s="239"/>
      <c r="S823" s="239"/>
      <c r="T823" s="239"/>
      <c r="U823" s="240"/>
      <c r="V823" s="238"/>
      <c r="W823" s="242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  <c r="AK823" s="239"/>
      <c r="AL823" s="239"/>
      <c r="AM823" s="4"/>
      <c r="AN823" s="4"/>
    </row>
    <row r="824" ht="15.75" customHeight="1">
      <c r="A824" s="4"/>
      <c r="B824" s="4"/>
      <c r="C824" s="12"/>
      <c r="D824" s="4"/>
      <c r="E824" s="4"/>
      <c r="F824" s="4"/>
      <c r="G824" s="4"/>
      <c r="H824" s="4"/>
      <c r="I824" s="237"/>
      <c r="J824" s="238"/>
      <c r="K824" s="238"/>
      <c r="L824" s="239"/>
      <c r="M824" s="239"/>
      <c r="N824" s="239"/>
      <c r="O824" s="240"/>
      <c r="P824" s="238"/>
      <c r="Q824" s="241"/>
      <c r="R824" s="239"/>
      <c r="S824" s="239"/>
      <c r="T824" s="239"/>
      <c r="U824" s="240"/>
      <c r="V824" s="238"/>
      <c r="W824" s="242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  <c r="AK824" s="239"/>
      <c r="AL824" s="239"/>
      <c r="AM824" s="4"/>
      <c r="AN824" s="4"/>
    </row>
    <row r="825" ht="15.75" customHeight="1">
      <c r="A825" s="4"/>
      <c r="B825" s="4"/>
      <c r="C825" s="12"/>
      <c r="D825" s="4"/>
      <c r="E825" s="4"/>
      <c r="F825" s="4"/>
      <c r="G825" s="4"/>
      <c r="H825" s="4"/>
      <c r="I825" s="237"/>
      <c r="J825" s="238"/>
      <c r="K825" s="238"/>
      <c r="L825" s="239"/>
      <c r="M825" s="239"/>
      <c r="N825" s="239"/>
      <c r="O825" s="240"/>
      <c r="P825" s="238"/>
      <c r="Q825" s="241"/>
      <c r="R825" s="239"/>
      <c r="S825" s="239"/>
      <c r="T825" s="239"/>
      <c r="U825" s="240"/>
      <c r="V825" s="238"/>
      <c r="W825" s="242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  <c r="AK825" s="239"/>
      <c r="AL825" s="239"/>
      <c r="AM825" s="4"/>
      <c r="AN825" s="4"/>
    </row>
    <row r="826" ht="15.75" customHeight="1">
      <c r="A826" s="4"/>
      <c r="B826" s="4"/>
      <c r="C826" s="12"/>
      <c r="D826" s="4"/>
      <c r="E826" s="4"/>
      <c r="F826" s="4"/>
      <c r="G826" s="4"/>
      <c r="H826" s="4"/>
      <c r="I826" s="237"/>
      <c r="J826" s="238"/>
      <c r="K826" s="238"/>
      <c r="L826" s="239"/>
      <c r="M826" s="239"/>
      <c r="N826" s="239"/>
      <c r="O826" s="240"/>
      <c r="P826" s="238"/>
      <c r="Q826" s="241"/>
      <c r="R826" s="239"/>
      <c r="S826" s="239"/>
      <c r="T826" s="239"/>
      <c r="U826" s="240"/>
      <c r="V826" s="238"/>
      <c r="W826" s="242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  <c r="AK826" s="239"/>
      <c r="AL826" s="239"/>
      <c r="AM826" s="4"/>
      <c r="AN826" s="4"/>
    </row>
    <row r="827" ht="15.75" customHeight="1">
      <c r="A827" s="4"/>
      <c r="B827" s="4"/>
      <c r="C827" s="12"/>
      <c r="D827" s="4"/>
      <c r="E827" s="4"/>
      <c r="F827" s="4"/>
      <c r="G827" s="4"/>
      <c r="H827" s="4"/>
      <c r="I827" s="237"/>
      <c r="J827" s="238"/>
      <c r="K827" s="238"/>
      <c r="L827" s="239"/>
      <c r="M827" s="239"/>
      <c r="N827" s="239"/>
      <c r="O827" s="240"/>
      <c r="P827" s="238"/>
      <c r="Q827" s="241"/>
      <c r="R827" s="239"/>
      <c r="S827" s="239"/>
      <c r="T827" s="239"/>
      <c r="U827" s="240"/>
      <c r="V827" s="238"/>
      <c r="W827" s="242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  <c r="AK827" s="239"/>
      <c r="AL827" s="239"/>
      <c r="AM827" s="4"/>
      <c r="AN827" s="4"/>
    </row>
    <row r="828" ht="15.75" customHeight="1">
      <c r="A828" s="4"/>
      <c r="B828" s="4"/>
      <c r="C828" s="12"/>
      <c r="D828" s="4"/>
      <c r="E828" s="4"/>
      <c r="F828" s="4"/>
      <c r="G828" s="4"/>
      <c r="H828" s="4"/>
      <c r="I828" s="237"/>
      <c r="J828" s="238"/>
      <c r="K828" s="238"/>
      <c r="L828" s="239"/>
      <c r="M828" s="239"/>
      <c r="N828" s="239"/>
      <c r="O828" s="240"/>
      <c r="P828" s="238"/>
      <c r="Q828" s="241"/>
      <c r="R828" s="239"/>
      <c r="S828" s="239"/>
      <c r="T828" s="239"/>
      <c r="U828" s="240"/>
      <c r="V828" s="238"/>
      <c r="W828" s="242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  <c r="AK828" s="239"/>
      <c r="AL828" s="239"/>
      <c r="AM828" s="4"/>
      <c r="AN828" s="4"/>
    </row>
    <row r="829" ht="15.75" customHeight="1">
      <c r="A829" s="4"/>
      <c r="B829" s="4"/>
      <c r="C829" s="12"/>
      <c r="D829" s="4"/>
      <c r="E829" s="4"/>
      <c r="F829" s="4"/>
      <c r="G829" s="4"/>
      <c r="H829" s="4"/>
      <c r="I829" s="237"/>
      <c r="J829" s="238"/>
      <c r="K829" s="238"/>
      <c r="L829" s="239"/>
      <c r="M829" s="239"/>
      <c r="N829" s="239"/>
      <c r="O829" s="240"/>
      <c r="P829" s="238"/>
      <c r="Q829" s="241"/>
      <c r="R829" s="239"/>
      <c r="S829" s="239"/>
      <c r="T829" s="239"/>
      <c r="U829" s="240"/>
      <c r="V829" s="238"/>
      <c r="W829" s="242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  <c r="AK829" s="239"/>
      <c r="AL829" s="239"/>
      <c r="AM829" s="4"/>
      <c r="AN829" s="4"/>
    </row>
    <row r="830" ht="15.75" customHeight="1">
      <c r="A830" s="4"/>
      <c r="B830" s="4"/>
      <c r="C830" s="12"/>
      <c r="D830" s="4"/>
      <c r="E830" s="4"/>
      <c r="F830" s="4"/>
      <c r="G830" s="4"/>
      <c r="H830" s="4"/>
      <c r="I830" s="237"/>
      <c r="J830" s="238"/>
      <c r="K830" s="238"/>
      <c r="L830" s="239"/>
      <c r="M830" s="239"/>
      <c r="N830" s="239"/>
      <c r="O830" s="240"/>
      <c r="P830" s="238"/>
      <c r="Q830" s="241"/>
      <c r="R830" s="239"/>
      <c r="S830" s="239"/>
      <c r="T830" s="239"/>
      <c r="U830" s="240"/>
      <c r="V830" s="238"/>
      <c r="W830" s="242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  <c r="AK830" s="239"/>
      <c r="AL830" s="239"/>
      <c r="AM830" s="4"/>
      <c r="AN830" s="4"/>
    </row>
    <row r="831" ht="15.75" customHeight="1">
      <c r="A831" s="4"/>
      <c r="B831" s="4"/>
      <c r="C831" s="12"/>
      <c r="D831" s="4"/>
      <c r="E831" s="4"/>
      <c r="F831" s="4"/>
      <c r="G831" s="4"/>
      <c r="H831" s="4"/>
      <c r="I831" s="237"/>
      <c r="J831" s="238"/>
      <c r="K831" s="238"/>
      <c r="L831" s="239"/>
      <c r="M831" s="239"/>
      <c r="N831" s="239"/>
      <c r="O831" s="240"/>
      <c r="P831" s="238"/>
      <c r="Q831" s="241"/>
      <c r="R831" s="239"/>
      <c r="S831" s="239"/>
      <c r="T831" s="239"/>
      <c r="U831" s="240"/>
      <c r="V831" s="238"/>
      <c r="W831" s="242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  <c r="AK831" s="239"/>
      <c r="AL831" s="239"/>
      <c r="AM831" s="4"/>
      <c r="AN831" s="4"/>
    </row>
    <row r="832" ht="15.75" customHeight="1">
      <c r="A832" s="4"/>
      <c r="B832" s="4"/>
      <c r="C832" s="12"/>
      <c r="D832" s="4"/>
      <c r="E832" s="4"/>
      <c r="F832" s="4"/>
      <c r="G832" s="4"/>
      <c r="H832" s="4"/>
      <c r="I832" s="237"/>
      <c r="J832" s="238"/>
      <c r="K832" s="238"/>
      <c r="L832" s="239"/>
      <c r="M832" s="239"/>
      <c r="N832" s="239"/>
      <c r="O832" s="240"/>
      <c r="P832" s="238"/>
      <c r="Q832" s="241"/>
      <c r="R832" s="239"/>
      <c r="S832" s="239"/>
      <c r="T832" s="239"/>
      <c r="U832" s="240"/>
      <c r="V832" s="238"/>
      <c r="W832" s="242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  <c r="AK832" s="239"/>
      <c r="AL832" s="239"/>
      <c r="AM832" s="4"/>
      <c r="AN832" s="4"/>
    </row>
    <row r="833" ht="15.75" customHeight="1">
      <c r="A833" s="4"/>
      <c r="B833" s="4"/>
      <c r="C833" s="12"/>
      <c r="D833" s="4"/>
      <c r="E833" s="4"/>
      <c r="F833" s="4"/>
      <c r="G833" s="4"/>
      <c r="H833" s="4"/>
      <c r="I833" s="237"/>
      <c r="J833" s="238"/>
      <c r="K833" s="238"/>
      <c r="L833" s="239"/>
      <c r="M833" s="239"/>
      <c r="N833" s="239"/>
      <c r="O833" s="240"/>
      <c r="P833" s="238"/>
      <c r="Q833" s="241"/>
      <c r="R833" s="239"/>
      <c r="S833" s="239"/>
      <c r="T833" s="239"/>
      <c r="U833" s="240"/>
      <c r="V833" s="238"/>
      <c r="W833" s="242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  <c r="AK833" s="239"/>
      <c r="AL833" s="239"/>
      <c r="AM833" s="4"/>
      <c r="AN833" s="4"/>
    </row>
    <row r="834" ht="15.75" customHeight="1">
      <c r="A834" s="4"/>
      <c r="B834" s="4"/>
      <c r="C834" s="12"/>
      <c r="D834" s="4"/>
      <c r="E834" s="4"/>
      <c r="F834" s="4"/>
      <c r="G834" s="4"/>
      <c r="H834" s="4"/>
      <c r="I834" s="237"/>
      <c r="J834" s="238"/>
      <c r="K834" s="238"/>
      <c r="L834" s="239"/>
      <c r="M834" s="239"/>
      <c r="N834" s="239"/>
      <c r="O834" s="240"/>
      <c r="P834" s="238"/>
      <c r="Q834" s="241"/>
      <c r="R834" s="239"/>
      <c r="S834" s="239"/>
      <c r="T834" s="239"/>
      <c r="U834" s="240"/>
      <c r="V834" s="238"/>
      <c r="W834" s="242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  <c r="AK834" s="239"/>
      <c r="AL834" s="239"/>
      <c r="AM834" s="4"/>
      <c r="AN834" s="4"/>
    </row>
    <row r="835" ht="15.75" customHeight="1">
      <c r="A835" s="4"/>
      <c r="B835" s="4"/>
      <c r="C835" s="12"/>
      <c r="D835" s="4"/>
      <c r="E835" s="4"/>
      <c r="F835" s="4"/>
      <c r="G835" s="4"/>
      <c r="H835" s="4"/>
      <c r="I835" s="237"/>
      <c r="J835" s="238"/>
      <c r="K835" s="238"/>
      <c r="L835" s="239"/>
      <c r="M835" s="239"/>
      <c r="N835" s="239"/>
      <c r="O835" s="240"/>
      <c r="P835" s="238"/>
      <c r="Q835" s="241"/>
      <c r="R835" s="239"/>
      <c r="S835" s="239"/>
      <c r="T835" s="239"/>
      <c r="U835" s="240"/>
      <c r="V835" s="238"/>
      <c r="W835" s="242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  <c r="AK835" s="239"/>
      <c r="AL835" s="239"/>
      <c r="AM835" s="4"/>
      <c r="AN835" s="4"/>
    </row>
    <row r="836" ht="15.75" customHeight="1">
      <c r="A836" s="4"/>
      <c r="B836" s="4"/>
      <c r="C836" s="12"/>
      <c r="D836" s="4"/>
      <c r="E836" s="4"/>
      <c r="F836" s="4"/>
      <c r="G836" s="4"/>
      <c r="H836" s="4"/>
      <c r="I836" s="237"/>
      <c r="J836" s="238"/>
      <c r="K836" s="238"/>
      <c r="L836" s="239"/>
      <c r="M836" s="239"/>
      <c r="N836" s="239"/>
      <c r="O836" s="240"/>
      <c r="P836" s="238"/>
      <c r="Q836" s="241"/>
      <c r="R836" s="239"/>
      <c r="S836" s="239"/>
      <c r="T836" s="239"/>
      <c r="U836" s="240"/>
      <c r="V836" s="238"/>
      <c r="W836" s="242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  <c r="AK836" s="239"/>
      <c r="AL836" s="239"/>
      <c r="AM836" s="4"/>
      <c r="AN836" s="4"/>
    </row>
    <row r="837" ht="15.75" customHeight="1">
      <c r="A837" s="4"/>
      <c r="B837" s="4"/>
      <c r="C837" s="12"/>
      <c r="D837" s="4"/>
      <c r="E837" s="4"/>
      <c r="F837" s="4"/>
      <c r="G837" s="4"/>
      <c r="H837" s="4"/>
      <c r="I837" s="237"/>
      <c r="J837" s="238"/>
      <c r="K837" s="238"/>
      <c r="L837" s="239"/>
      <c r="M837" s="239"/>
      <c r="N837" s="239"/>
      <c r="O837" s="240"/>
      <c r="P837" s="238"/>
      <c r="Q837" s="241"/>
      <c r="R837" s="239"/>
      <c r="S837" s="239"/>
      <c r="T837" s="239"/>
      <c r="U837" s="240"/>
      <c r="V837" s="238"/>
      <c r="W837" s="242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  <c r="AK837" s="239"/>
      <c r="AL837" s="239"/>
      <c r="AM837" s="4"/>
      <c r="AN837" s="4"/>
    </row>
    <row r="838" ht="15.75" customHeight="1">
      <c r="A838" s="4"/>
      <c r="B838" s="4"/>
      <c r="C838" s="12"/>
      <c r="D838" s="4"/>
      <c r="E838" s="4"/>
      <c r="F838" s="4"/>
      <c r="G838" s="4"/>
      <c r="H838" s="4"/>
      <c r="I838" s="237"/>
      <c r="J838" s="238"/>
      <c r="K838" s="238"/>
      <c r="L838" s="239"/>
      <c r="M838" s="239"/>
      <c r="N838" s="239"/>
      <c r="O838" s="240"/>
      <c r="P838" s="238"/>
      <c r="Q838" s="241"/>
      <c r="R838" s="239"/>
      <c r="S838" s="239"/>
      <c r="T838" s="239"/>
      <c r="U838" s="240"/>
      <c r="V838" s="238"/>
      <c r="W838" s="242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  <c r="AK838" s="239"/>
      <c r="AL838" s="239"/>
      <c r="AM838" s="4"/>
      <c r="AN838" s="4"/>
    </row>
    <row r="839" ht="15.75" customHeight="1">
      <c r="A839" s="4"/>
      <c r="B839" s="4"/>
      <c r="C839" s="12"/>
      <c r="D839" s="4"/>
      <c r="E839" s="4"/>
      <c r="F839" s="4"/>
      <c r="G839" s="4"/>
      <c r="H839" s="4"/>
      <c r="I839" s="237"/>
      <c r="J839" s="238"/>
      <c r="K839" s="238"/>
      <c r="L839" s="239"/>
      <c r="M839" s="239"/>
      <c r="N839" s="239"/>
      <c r="O839" s="240"/>
      <c r="P839" s="238"/>
      <c r="Q839" s="241"/>
      <c r="R839" s="239"/>
      <c r="S839" s="239"/>
      <c r="T839" s="239"/>
      <c r="U839" s="240"/>
      <c r="V839" s="238"/>
      <c r="W839" s="242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  <c r="AK839" s="239"/>
      <c r="AL839" s="239"/>
      <c r="AM839" s="4"/>
      <c r="AN839" s="4"/>
    </row>
    <row r="840" ht="15.75" customHeight="1">
      <c r="A840" s="4"/>
      <c r="B840" s="4"/>
      <c r="C840" s="12"/>
      <c r="D840" s="4"/>
      <c r="E840" s="4"/>
      <c r="F840" s="4"/>
      <c r="G840" s="4"/>
      <c r="H840" s="4"/>
      <c r="I840" s="237"/>
      <c r="J840" s="238"/>
      <c r="K840" s="238"/>
      <c r="L840" s="239"/>
      <c r="M840" s="239"/>
      <c r="N840" s="239"/>
      <c r="O840" s="240"/>
      <c r="P840" s="238"/>
      <c r="Q840" s="241"/>
      <c r="R840" s="239"/>
      <c r="S840" s="239"/>
      <c r="T840" s="239"/>
      <c r="U840" s="240"/>
      <c r="V840" s="238"/>
      <c r="W840" s="242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  <c r="AK840" s="239"/>
      <c r="AL840" s="239"/>
      <c r="AM840" s="4"/>
      <c r="AN840" s="4"/>
    </row>
    <row r="841" ht="15.75" customHeight="1">
      <c r="A841" s="4"/>
      <c r="B841" s="4"/>
      <c r="C841" s="12"/>
      <c r="D841" s="4"/>
      <c r="E841" s="4"/>
      <c r="F841" s="4"/>
      <c r="G841" s="4"/>
      <c r="H841" s="4"/>
      <c r="I841" s="237"/>
      <c r="J841" s="238"/>
      <c r="K841" s="238"/>
      <c r="L841" s="239"/>
      <c r="M841" s="239"/>
      <c r="N841" s="239"/>
      <c r="O841" s="240"/>
      <c r="P841" s="238"/>
      <c r="Q841" s="241"/>
      <c r="R841" s="239"/>
      <c r="S841" s="239"/>
      <c r="T841" s="239"/>
      <c r="U841" s="240"/>
      <c r="V841" s="238"/>
      <c r="W841" s="242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  <c r="AK841" s="239"/>
      <c r="AL841" s="239"/>
      <c r="AM841" s="4"/>
      <c r="AN841" s="4"/>
    </row>
    <row r="842" ht="15.75" customHeight="1">
      <c r="A842" s="4"/>
      <c r="B842" s="4"/>
      <c r="C842" s="12"/>
      <c r="D842" s="4"/>
      <c r="E842" s="4"/>
      <c r="F842" s="4"/>
      <c r="G842" s="4"/>
      <c r="H842" s="4"/>
      <c r="I842" s="237"/>
      <c r="J842" s="238"/>
      <c r="K842" s="238"/>
      <c r="L842" s="239"/>
      <c r="M842" s="239"/>
      <c r="N842" s="239"/>
      <c r="O842" s="240"/>
      <c r="P842" s="238"/>
      <c r="Q842" s="241"/>
      <c r="R842" s="239"/>
      <c r="S842" s="239"/>
      <c r="T842" s="239"/>
      <c r="U842" s="240"/>
      <c r="V842" s="238"/>
      <c r="W842" s="242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  <c r="AK842" s="239"/>
      <c r="AL842" s="239"/>
      <c r="AM842" s="4"/>
      <c r="AN842" s="4"/>
    </row>
    <row r="843" ht="15.75" customHeight="1">
      <c r="A843" s="4"/>
      <c r="B843" s="4"/>
      <c r="C843" s="12"/>
      <c r="D843" s="4"/>
      <c r="E843" s="4"/>
      <c r="F843" s="4"/>
      <c r="G843" s="4"/>
      <c r="H843" s="4"/>
      <c r="I843" s="237"/>
      <c r="J843" s="238"/>
      <c r="K843" s="238"/>
      <c r="L843" s="239"/>
      <c r="M843" s="239"/>
      <c r="N843" s="239"/>
      <c r="O843" s="240"/>
      <c r="P843" s="238"/>
      <c r="Q843" s="241"/>
      <c r="R843" s="239"/>
      <c r="S843" s="239"/>
      <c r="T843" s="239"/>
      <c r="U843" s="240"/>
      <c r="V843" s="238"/>
      <c r="W843" s="242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  <c r="AK843" s="239"/>
      <c r="AL843" s="239"/>
      <c r="AM843" s="4"/>
      <c r="AN843" s="4"/>
    </row>
    <row r="844" ht="15.75" customHeight="1">
      <c r="A844" s="4"/>
      <c r="B844" s="4"/>
      <c r="C844" s="12"/>
      <c r="D844" s="4"/>
      <c r="E844" s="4"/>
      <c r="F844" s="4"/>
      <c r="G844" s="4"/>
      <c r="H844" s="4"/>
      <c r="I844" s="237"/>
      <c r="J844" s="238"/>
      <c r="K844" s="238"/>
      <c r="L844" s="239"/>
      <c r="M844" s="239"/>
      <c r="N844" s="239"/>
      <c r="O844" s="240"/>
      <c r="P844" s="238"/>
      <c r="Q844" s="241"/>
      <c r="R844" s="239"/>
      <c r="S844" s="239"/>
      <c r="T844" s="239"/>
      <c r="U844" s="240"/>
      <c r="V844" s="238"/>
      <c r="W844" s="242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  <c r="AK844" s="239"/>
      <c r="AL844" s="239"/>
      <c r="AM844" s="4"/>
      <c r="AN844" s="4"/>
    </row>
    <row r="845" ht="15.75" customHeight="1">
      <c r="A845" s="4"/>
      <c r="B845" s="4"/>
      <c r="C845" s="12"/>
      <c r="D845" s="4"/>
      <c r="E845" s="4"/>
      <c r="F845" s="4"/>
      <c r="G845" s="4"/>
      <c r="H845" s="4"/>
      <c r="I845" s="237"/>
      <c r="J845" s="238"/>
      <c r="K845" s="238"/>
      <c r="L845" s="239"/>
      <c r="M845" s="239"/>
      <c r="N845" s="239"/>
      <c r="O845" s="240"/>
      <c r="P845" s="238"/>
      <c r="Q845" s="241"/>
      <c r="R845" s="239"/>
      <c r="S845" s="239"/>
      <c r="T845" s="239"/>
      <c r="U845" s="240"/>
      <c r="V845" s="238"/>
      <c r="W845" s="242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  <c r="AK845" s="239"/>
      <c r="AL845" s="239"/>
      <c r="AM845" s="4"/>
      <c r="AN845" s="4"/>
    </row>
    <row r="846" ht="15.75" customHeight="1">
      <c r="A846" s="4"/>
      <c r="B846" s="4"/>
      <c r="C846" s="12"/>
      <c r="D846" s="4"/>
      <c r="E846" s="4"/>
      <c r="F846" s="4"/>
      <c r="G846" s="4"/>
      <c r="H846" s="4"/>
      <c r="I846" s="237"/>
      <c r="J846" s="238"/>
      <c r="K846" s="238"/>
      <c r="L846" s="239"/>
      <c r="M846" s="239"/>
      <c r="N846" s="239"/>
      <c r="O846" s="240"/>
      <c r="P846" s="238"/>
      <c r="Q846" s="241"/>
      <c r="R846" s="239"/>
      <c r="S846" s="239"/>
      <c r="T846" s="239"/>
      <c r="U846" s="240"/>
      <c r="V846" s="238"/>
      <c r="W846" s="242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  <c r="AK846" s="239"/>
      <c r="AL846" s="239"/>
      <c r="AM846" s="4"/>
      <c r="AN846" s="4"/>
    </row>
    <row r="847" ht="15.75" customHeight="1">
      <c r="A847" s="4"/>
      <c r="B847" s="4"/>
      <c r="C847" s="12"/>
      <c r="D847" s="4"/>
      <c r="E847" s="4"/>
      <c r="F847" s="4"/>
      <c r="G847" s="4"/>
      <c r="H847" s="4"/>
      <c r="I847" s="237"/>
      <c r="J847" s="238"/>
      <c r="K847" s="238"/>
      <c r="L847" s="239"/>
      <c r="M847" s="239"/>
      <c r="N847" s="239"/>
      <c r="O847" s="240"/>
      <c r="P847" s="238"/>
      <c r="Q847" s="241"/>
      <c r="R847" s="239"/>
      <c r="S847" s="239"/>
      <c r="T847" s="239"/>
      <c r="U847" s="240"/>
      <c r="V847" s="238"/>
      <c r="W847" s="242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  <c r="AK847" s="239"/>
      <c r="AL847" s="239"/>
      <c r="AM847" s="4"/>
      <c r="AN847" s="4"/>
    </row>
    <row r="848" ht="15.75" customHeight="1">
      <c r="A848" s="4"/>
      <c r="B848" s="4"/>
      <c r="C848" s="12"/>
      <c r="D848" s="4"/>
      <c r="E848" s="4"/>
      <c r="F848" s="4"/>
      <c r="G848" s="4"/>
      <c r="H848" s="4"/>
      <c r="I848" s="237"/>
      <c r="J848" s="238"/>
      <c r="K848" s="238"/>
      <c r="L848" s="239"/>
      <c r="M848" s="239"/>
      <c r="N848" s="239"/>
      <c r="O848" s="240"/>
      <c r="P848" s="238"/>
      <c r="Q848" s="241"/>
      <c r="R848" s="239"/>
      <c r="S848" s="239"/>
      <c r="T848" s="239"/>
      <c r="U848" s="240"/>
      <c r="V848" s="238"/>
      <c r="W848" s="242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  <c r="AK848" s="239"/>
      <c r="AL848" s="239"/>
      <c r="AM848" s="4"/>
      <c r="AN848" s="4"/>
    </row>
    <row r="849" ht="15.75" customHeight="1">
      <c r="A849" s="4"/>
      <c r="B849" s="4"/>
      <c r="C849" s="12"/>
      <c r="D849" s="4"/>
      <c r="E849" s="4"/>
      <c r="F849" s="4"/>
      <c r="G849" s="4"/>
      <c r="H849" s="4"/>
      <c r="I849" s="237"/>
      <c r="J849" s="238"/>
      <c r="K849" s="238"/>
      <c r="L849" s="239"/>
      <c r="M849" s="239"/>
      <c r="N849" s="239"/>
      <c r="O849" s="240"/>
      <c r="P849" s="238"/>
      <c r="Q849" s="241"/>
      <c r="R849" s="239"/>
      <c r="S849" s="239"/>
      <c r="T849" s="239"/>
      <c r="U849" s="240"/>
      <c r="V849" s="238"/>
      <c r="W849" s="242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  <c r="AK849" s="239"/>
      <c r="AL849" s="239"/>
      <c r="AM849" s="4"/>
      <c r="AN849" s="4"/>
    </row>
    <row r="850" ht="15.75" customHeight="1">
      <c r="A850" s="4"/>
      <c r="B850" s="4"/>
      <c r="C850" s="12"/>
      <c r="D850" s="4"/>
      <c r="E850" s="4"/>
      <c r="F850" s="4"/>
      <c r="G850" s="4"/>
      <c r="H850" s="4"/>
      <c r="I850" s="237"/>
      <c r="J850" s="238"/>
      <c r="K850" s="238"/>
      <c r="L850" s="239"/>
      <c r="M850" s="239"/>
      <c r="N850" s="239"/>
      <c r="O850" s="240"/>
      <c r="P850" s="238"/>
      <c r="Q850" s="241"/>
      <c r="R850" s="239"/>
      <c r="S850" s="239"/>
      <c r="T850" s="239"/>
      <c r="U850" s="240"/>
      <c r="V850" s="238"/>
      <c r="W850" s="242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  <c r="AK850" s="239"/>
      <c r="AL850" s="239"/>
      <c r="AM850" s="4"/>
      <c r="AN850" s="4"/>
    </row>
    <row r="851" ht="15.75" customHeight="1">
      <c r="A851" s="4"/>
      <c r="B851" s="4"/>
      <c r="C851" s="12"/>
      <c r="D851" s="4"/>
      <c r="E851" s="4"/>
      <c r="F851" s="4"/>
      <c r="G851" s="4"/>
      <c r="H851" s="4"/>
      <c r="I851" s="237"/>
      <c r="J851" s="238"/>
      <c r="K851" s="238"/>
      <c r="L851" s="239"/>
      <c r="M851" s="239"/>
      <c r="N851" s="239"/>
      <c r="O851" s="240"/>
      <c r="P851" s="238"/>
      <c r="Q851" s="241"/>
      <c r="R851" s="239"/>
      <c r="S851" s="239"/>
      <c r="T851" s="239"/>
      <c r="U851" s="240"/>
      <c r="V851" s="238"/>
      <c r="W851" s="242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  <c r="AK851" s="239"/>
      <c r="AL851" s="239"/>
      <c r="AM851" s="4"/>
      <c r="AN851" s="4"/>
    </row>
    <row r="852" ht="15.75" customHeight="1">
      <c r="A852" s="4"/>
      <c r="B852" s="4"/>
      <c r="C852" s="12"/>
      <c r="D852" s="4"/>
      <c r="E852" s="4"/>
      <c r="F852" s="4"/>
      <c r="G852" s="4"/>
      <c r="H852" s="4"/>
      <c r="I852" s="237"/>
      <c r="J852" s="238"/>
      <c r="K852" s="238"/>
      <c r="L852" s="239"/>
      <c r="M852" s="239"/>
      <c r="N852" s="239"/>
      <c r="O852" s="240"/>
      <c r="P852" s="238"/>
      <c r="Q852" s="241"/>
      <c r="R852" s="239"/>
      <c r="S852" s="239"/>
      <c r="T852" s="239"/>
      <c r="U852" s="240"/>
      <c r="V852" s="238"/>
      <c r="W852" s="242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  <c r="AK852" s="239"/>
      <c r="AL852" s="239"/>
      <c r="AM852" s="4"/>
      <c r="AN852" s="4"/>
    </row>
    <row r="853" ht="15.75" customHeight="1">
      <c r="A853" s="4"/>
      <c r="B853" s="4"/>
      <c r="C853" s="12"/>
      <c r="D853" s="4"/>
      <c r="E853" s="4"/>
      <c r="F853" s="4"/>
      <c r="G853" s="4"/>
      <c r="H853" s="4"/>
      <c r="I853" s="237"/>
      <c r="J853" s="238"/>
      <c r="K853" s="238"/>
      <c r="L853" s="239"/>
      <c r="M853" s="239"/>
      <c r="N853" s="239"/>
      <c r="O853" s="240"/>
      <c r="P853" s="238"/>
      <c r="Q853" s="241"/>
      <c r="R853" s="239"/>
      <c r="S853" s="239"/>
      <c r="T853" s="239"/>
      <c r="U853" s="240"/>
      <c r="V853" s="238"/>
      <c r="W853" s="242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  <c r="AK853" s="239"/>
      <c r="AL853" s="239"/>
      <c r="AM853" s="4"/>
      <c r="AN853" s="4"/>
    </row>
    <row r="854" ht="15.75" customHeight="1">
      <c r="A854" s="4"/>
      <c r="B854" s="4"/>
      <c r="C854" s="12"/>
      <c r="D854" s="4"/>
      <c r="E854" s="4"/>
      <c r="F854" s="4"/>
      <c r="G854" s="4"/>
      <c r="H854" s="4"/>
      <c r="I854" s="237"/>
      <c r="J854" s="238"/>
      <c r="K854" s="238"/>
      <c r="L854" s="239"/>
      <c r="M854" s="239"/>
      <c r="N854" s="239"/>
      <c r="O854" s="240"/>
      <c r="P854" s="238"/>
      <c r="Q854" s="241"/>
      <c r="R854" s="239"/>
      <c r="S854" s="239"/>
      <c r="T854" s="239"/>
      <c r="U854" s="240"/>
      <c r="V854" s="238"/>
      <c r="W854" s="242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  <c r="AK854" s="239"/>
      <c r="AL854" s="239"/>
      <c r="AM854" s="4"/>
      <c r="AN854" s="4"/>
    </row>
    <row r="855" ht="15.75" customHeight="1">
      <c r="A855" s="4"/>
      <c r="B855" s="4"/>
      <c r="C855" s="12"/>
      <c r="D855" s="4"/>
      <c r="E855" s="4"/>
      <c r="F855" s="4"/>
      <c r="G855" s="4"/>
      <c r="H855" s="4"/>
      <c r="I855" s="237"/>
      <c r="J855" s="238"/>
      <c r="K855" s="238"/>
      <c r="L855" s="239"/>
      <c r="M855" s="239"/>
      <c r="N855" s="239"/>
      <c r="O855" s="240"/>
      <c r="P855" s="238"/>
      <c r="Q855" s="241"/>
      <c r="R855" s="239"/>
      <c r="S855" s="239"/>
      <c r="T855" s="239"/>
      <c r="U855" s="240"/>
      <c r="V855" s="238"/>
      <c r="W855" s="242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  <c r="AK855" s="239"/>
      <c r="AL855" s="239"/>
      <c r="AM855" s="4"/>
      <c r="AN855" s="4"/>
    </row>
    <row r="856" ht="15.75" customHeight="1">
      <c r="A856" s="4"/>
      <c r="B856" s="4"/>
      <c r="C856" s="12"/>
      <c r="D856" s="4"/>
      <c r="E856" s="4"/>
      <c r="F856" s="4"/>
      <c r="G856" s="4"/>
      <c r="H856" s="4"/>
      <c r="I856" s="237"/>
      <c r="J856" s="238"/>
      <c r="K856" s="238"/>
      <c r="L856" s="239"/>
      <c r="M856" s="239"/>
      <c r="N856" s="239"/>
      <c r="O856" s="240"/>
      <c r="P856" s="238"/>
      <c r="Q856" s="241"/>
      <c r="R856" s="239"/>
      <c r="S856" s="239"/>
      <c r="T856" s="239"/>
      <c r="U856" s="240"/>
      <c r="V856" s="238"/>
      <c r="W856" s="242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  <c r="AK856" s="239"/>
      <c r="AL856" s="239"/>
      <c r="AM856" s="4"/>
      <c r="AN856" s="4"/>
    </row>
    <row r="857" ht="15.75" customHeight="1">
      <c r="A857" s="4"/>
      <c r="B857" s="4"/>
      <c r="C857" s="12"/>
      <c r="D857" s="4"/>
      <c r="E857" s="4"/>
      <c r="F857" s="4"/>
      <c r="G857" s="4"/>
      <c r="H857" s="4"/>
      <c r="I857" s="237"/>
      <c r="J857" s="238"/>
      <c r="K857" s="238"/>
      <c r="L857" s="239"/>
      <c r="M857" s="239"/>
      <c r="N857" s="239"/>
      <c r="O857" s="240"/>
      <c r="P857" s="238"/>
      <c r="Q857" s="241"/>
      <c r="R857" s="239"/>
      <c r="S857" s="239"/>
      <c r="T857" s="239"/>
      <c r="U857" s="240"/>
      <c r="V857" s="238"/>
      <c r="W857" s="242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  <c r="AK857" s="239"/>
      <c r="AL857" s="239"/>
      <c r="AM857" s="4"/>
      <c r="AN857" s="4"/>
    </row>
    <row r="858" ht="15.75" customHeight="1">
      <c r="A858" s="4"/>
      <c r="B858" s="4"/>
      <c r="C858" s="12"/>
      <c r="D858" s="4"/>
      <c r="E858" s="4"/>
      <c r="F858" s="4"/>
      <c r="G858" s="4"/>
      <c r="H858" s="4"/>
      <c r="I858" s="237"/>
      <c r="J858" s="238"/>
      <c r="K858" s="238"/>
      <c r="L858" s="239"/>
      <c r="M858" s="239"/>
      <c r="N858" s="239"/>
      <c r="O858" s="240"/>
      <c r="P858" s="238"/>
      <c r="Q858" s="241"/>
      <c r="R858" s="239"/>
      <c r="S858" s="239"/>
      <c r="T858" s="239"/>
      <c r="U858" s="240"/>
      <c r="V858" s="238"/>
      <c r="W858" s="242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  <c r="AK858" s="239"/>
      <c r="AL858" s="239"/>
      <c r="AM858" s="4"/>
      <c r="AN858" s="4"/>
    </row>
    <row r="859" ht="15.75" customHeight="1">
      <c r="A859" s="4"/>
      <c r="B859" s="4"/>
      <c r="C859" s="12"/>
      <c r="D859" s="4"/>
      <c r="E859" s="4"/>
      <c r="F859" s="4"/>
      <c r="G859" s="4"/>
      <c r="H859" s="4"/>
      <c r="I859" s="237"/>
      <c r="J859" s="238"/>
      <c r="K859" s="238"/>
      <c r="L859" s="239"/>
      <c r="M859" s="239"/>
      <c r="N859" s="239"/>
      <c r="O859" s="240"/>
      <c r="P859" s="238"/>
      <c r="Q859" s="241"/>
      <c r="R859" s="239"/>
      <c r="S859" s="239"/>
      <c r="T859" s="239"/>
      <c r="U859" s="240"/>
      <c r="V859" s="238"/>
      <c r="W859" s="242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  <c r="AK859" s="239"/>
      <c r="AL859" s="239"/>
      <c r="AM859" s="4"/>
      <c r="AN859" s="4"/>
    </row>
    <row r="860" ht="15.75" customHeight="1">
      <c r="A860" s="4"/>
      <c r="B860" s="4"/>
      <c r="C860" s="12"/>
      <c r="D860" s="4"/>
      <c r="E860" s="4"/>
      <c r="F860" s="4"/>
      <c r="G860" s="4"/>
      <c r="H860" s="4"/>
      <c r="I860" s="237"/>
      <c r="J860" s="238"/>
      <c r="K860" s="238"/>
      <c r="L860" s="239"/>
      <c r="M860" s="239"/>
      <c r="N860" s="239"/>
      <c r="O860" s="240"/>
      <c r="P860" s="238"/>
      <c r="Q860" s="241"/>
      <c r="R860" s="239"/>
      <c r="S860" s="239"/>
      <c r="T860" s="239"/>
      <c r="U860" s="240"/>
      <c r="V860" s="238"/>
      <c r="W860" s="242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  <c r="AK860" s="239"/>
      <c r="AL860" s="239"/>
      <c r="AM860" s="4"/>
      <c r="AN860" s="4"/>
    </row>
    <row r="861" ht="15.75" customHeight="1">
      <c r="A861" s="4"/>
      <c r="B861" s="4"/>
      <c r="C861" s="12"/>
      <c r="D861" s="4"/>
      <c r="E861" s="4"/>
      <c r="F861" s="4"/>
      <c r="G861" s="4"/>
      <c r="H861" s="4"/>
      <c r="I861" s="237"/>
      <c r="J861" s="238"/>
      <c r="K861" s="238"/>
      <c r="L861" s="239"/>
      <c r="M861" s="239"/>
      <c r="N861" s="239"/>
      <c r="O861" s="240"/>
      <c r="P861" s="238"/>
      <c r="Q861" s="241"/>
      <c r="R861" s="239"/>
      <c r="S861" s="239"/>
      <c r="T861" s="239"/>
      <c r="U861" s="240"/>
      <c r="V861" s="238"/>
      <c r="W861" s="242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  <c r="AK861" s="239"/>
      <c r="AL861" s="239"/>
      <c r="AM861" s="4"/>
      <c r="AN861" s="4"/>
    </row>
    <row r="862" ht="15.75" customHeight="1">
      <c r="A862" s="4"/>
      <c r="B862" s="4"/>
      <c r="C862" s="12"/>
      <c r="D862" s="4"/>
      <c r="E862" s="4"/>
      <c r="F862" s="4"/>
      <c r="G862" s="4"/>
      <c r="H862" s="4"/>
      <c r="I862" s="237"/>
      <c r="J862" s="238"/>
      <c r="K862" s="238"/>
      <c r="L862" s="239"/>
      <c r="M862" s="239"/>
      <c r="N862" s="239"/>
      <c r="O862" s="240"/>
      <c r="P862" s="238"/>
      <c r="Q862" s="241"/>
      <c r="R862" s="239"/>
      <c r="S862" s="239"/>
      <c r="T862" s="239"/>
      <c r="U862" s="240"/>
      <c r="V862" s="238"/>
      <c r="W862" s="242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  <c r="AK862" s="239"/>
      <c r="AL862" s="239"/>
      <c r="AM862" s="4"/>
      <c r="AN862" s="4"/>
    </row>
    <row r="863" ht="15.75" customHeight="1">
      <c r="A863" s="4"/>
      <c r="B863" s="4"/>
      <c r="C863" s="12"/>
      <c r="D863" s="4"/>
      <c r="E863" s="4"/>
      <c r="F863" s="4"/>
      <c r="G863" s="4"/>
      <c r="H863" s="4"/>
      <c r="I863" s="237"/>
      <c r="J863" s="238"/>
      <c r="K863" s="238"/>
      <c r="L863" s="239"/>
      <c r="M863" s="239"/>
      <c r="N863" s="239"/>
      <c r="O863" s="240"/>
      <c r="P863" s="238"/>
      <c r="Q863" s="241"/>
      <c r="R863" s="239"/>
      <c r="S863" s="239"/>
      <c r="T863" s="239"/>
      <c r="U863" s="240"/>
      <c r="V863" s="238"/>
      <c r="W863" s="242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  <c r="AK863" s="239"/>
      <c r="AL863" s="239"/>
      <c r="AM863" s="4"/>
      <c r="AN863" s="4"/>
    </row>
    <row r="864" ht="15.75" customHeight="1">
      <c r="A864" s="4"/>
      <c r="B864" s="4"/>
      <c r="C864" s="12"/>
      <c r="D864" s="4"/>
      <c r="E864" s="4"/>
      <c r="F864" s="4"/>
      <c r="G864" s="4"/>
      <c r="H864" s="4"/>
      <c r="I864" s="237"/>
      <c r="J864" s="238"/>
      <c r="K864" s="238"/>
      <c r="L864" s="239"/>
      <c r="M864" s="239"/>
      <c r="N864" s="239"/>
      <c r="O864" s="240"/>
      <c r="P864" s="238"/>
      <c r="Q864" s="241"/>
      <c r="R864" s="239"/>
      <c r="S864" s="239"/>
      <c r="T864" s="239"/>
      <c r="U864" s="240"/>
      <c r="V864" s="238"/>
      <c r="W864" s="242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  <c r="AK864" s="239"/>
      <c r="AL864" s="239"/>
      <c r="AM864" s="4"/>
      <c r="AN864" s="4"/>
    </row>
    <row r="865" ht="15.75" customHeight="1">
      <c r="A865" s="4"/>
      <c r="B865" s="4"/>
      <c r="C865" s="12"/>
      <c r="D865" s="4"/>
      <c r="E865" s="4"/>
      <c r="F865" s="4"/>
      <c r="G865" s="4"/>
      <c r="H865" s="4"/>
      <c r="I865" s="237"/>
      <c r="J865" s="238"/>
      <c r="K865" s="238"/>
      <c r="L865" s="239"/>
      <c r="M865" s="239"/>
      <c r="N865" s="239"/>
      <c r="O865" s="240"/>
      <c r="P865" s="238"/>
      <c r="Q865" s="241"/>
      <c r="R865" s="239"/>
      <c r="S865" s="239"/>
      <c r="T865" s="239"/>
      <c r="U865" s="240"/>
      <c r="V865" s="238"/>
      <c r="W865" s="242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  <c r="AK865" s="239"/>
      <c r="AL865" s="239"/>
      <c r="AM865" s="4"/>
      <c r="AN865" s="4"/>
    </row>
    <row r="866" ht="15.75" customHeight="1">
      <c r="A866" s="4"/>
      <c r="B866" s="4"/>
      <c r="C866" s="12"/>
      <c r="D866" s="4"/>
      <c r="E866" s="4"/>
      <c r="F866" s="4"/>
      <c r="G866" s="4"/>
      <c r="H866" s="4"/>
      <c r="I866" s="237"/>
      <c r="J866" s="238"/>
      <c r="K866" s="238"/>
      <c r="L866" s="239"/>
      <c r="M866" s="239"/>
      <c r="N866" s="239"/>
      <c r="O866" s="240"/>
      <c r="P866" s="238"/>
      <c r="Q866" s="241"/>
      <c r="R866" s="239"/>
      <c r="S866" s="239"/>
      <c r="T866" s="239"/>
      <c r="U866" s="240"/>
      <c r="V866" s="238"/>
      <c r="W866" s="242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  <c r="AK866" s="239"/>
      <c r="AL866" s="239"/>
      <c r="AM866" s="4"/>
      <c r="AN866" s="4"/>
    </row>
    <row r="867" ht="15.75" customHeight="1">
      <c r="A867" s="4"/>
      <c r="B867" s="4"/>
      <c r="C867" s="12"/>
      <c r="D867" s="4"/>
      <c r="E867" s="4"/>
      <c r="F867" s="4"/>
      <c r="G867" s="4"/>
      <c r="H867" s="4"/>
      <c r="I867" s="237"/>
      <c r="J867" s="238"/>
      <c r="K867" s="238"/>
      <c r="L867" s="239"/>
      <c r="M867" s="239"/>
      <c r="N867" s="239"/>
      <c r="O867" s="240"/>
      <c r="P867" s="238"/>
      <c r="Q867" s="241"/>
      <c r="R867" s="239"/>
      <c r="S867" s="239"/>
      <c r="T867" s="239"/>
      <c r="U867" s="240"/>
      <c r="V867" s="238"/>
      <c r="W867" s="242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  <c r="AK867" s="239"/>
      <c r="AL867" s="239"/>
      <c r="AM867" s="4"/>
      <c r="AN867" s="4"/>
    </row>
    <row r="868" ht="15.75" customHeight="1">
      <c r="A868" s="4"/>
      <c r="B868" s="4"/>
      <c r="C868" s="12"/>
      <c r="D868" s="4"/>
      <c r="E868" s="4"/>
      <c r="F868" s="4"/>
      <c r="G868" s="4"/>
      <c r="H868" s="4"/>
      <c r="I868" s="237"/>
      <c r="J868" s="238"/>
      <c r="K868" s="238"/>
      <c r="L868" s="239"/>
      <c r="M868" s="239"/>
      <c r="N868" s="239"/>
      <c r="O868" s="240"/>
      <c r="P868" s="238"/>
      <c r="Q868" s="241"/>
      <c r="R868" s="239"/>
      <c r="S868" s="239"/>
      <c r="T868" s="239"/>
      <c r="U868" s="240"/>
      <c r="V868" s="238"/>
      <c r="W868" s="242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  <c r="AK868" s="239"/>
      <c r="AL868" s="239"/>
      <c r="AM868" s="4"/>
      <c r="AN868" s="4"/>
    </row>
    <row r="869" ht="15.75" customHeight="1">
      <c r="A869" s="4"/>
      <c r="B869" s="4"/>
      <c r="C869" s="12"/>
      <c r="D869" s="4"/>
      <c r="E869" s="4"/>
      <c r="F869" s="4"/>
      <c r="G869" s="4"/>
      <c r="H869" s="4"/>
      <c r="I869" s="237"/>
      <c r="J869" s="238"/>
      <c r="K869" s="238"/>
      <c r="L869" s="239"/>
      <c r="M869" s="239"/>
      <c r="N869" s="239"/>
      <c r="O869" s="240"/>
      <c r="P869" s="238"/>
      <c r="Q869" s="241"/>
      <c r="R869" s="239"/>
      <c r="S869" s="239"/>
      <c r="T869" s="239"/>
      <c r="U869" s="240"/>
      <c r="V869" s="238"/>
      <c r="W869" s="242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  <c r="AK869" s="239"/>
      <c r="AL869" s="239"/>
      <c r="AM869" s="4"/>
      <c r="AN869" s="4"/>
    </row>
    <row r="870" ht="15.75" customHeight="1">
      <c r="A870" s="4"/>
      <c r="B870" s="4"/>
      <c r="C870" s="12"/>
      <c r="D870" s="4"/>
      <c r="E870" s="4"/>
      <c r="F870" s="4"/>
      <c r="G870" s="4"/>
      <c r="H870" s="4"/>
      <c r="I870" s="237"/>
      <c r="J870" s="238"/>
      <c r="K870" s="238"/>
      <c r="L870" s="239"/>
      <c r="M870" s="239"/>
      <c r="N870" s="239"/>
      <c r="O870" s="240"/>
      <c r="P870" s="238"/>
      <c r="Q870" s="241"/>
      <c r="R870" s="239"/>
      <c r="S870" s="239"/>
      <c r="T870" s="239"/>
      <c r="U870" s="240"/>
      <c r="V870" s="238"/>
      <c r="W870" s="242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  <c r="AK870" s="239"/>
      <c r="AL870" s="239"/>
      <c r="AM870" s="4"/>
      <c r="AN870" s="4"/>
    </row>
    <row r="871" ht="15.75" customHeight="1">
      <c r="A871" s="4"/>
      <c r="B871" s="4"/>
      <c r="C871" s="12"/>
      <c r="D871" s="4"/>
      <c r="E871" s="4"/>
      <c r="F871" s="4"/>
      <c r="G871" s="4"/>
      <c r="H871" s="4"/>
      <c r="I871" s="237"/>
      <c r="J871" s="238"/>
      <c r="K871" s="238"/>
      <c r="L871" s="239"/>
      <c r="M871" s="239"/>
      <c r="N871" s="239"/>
      <c r="O871" s="240"/>
      <c r="P871" s="238"/>
      <c r="Q871" s="241"/>
      <c r="R871" s="239"/>
      <c r="S871" s="239"/>
      <c r="T871" s="239"/>
      <c r="U871" s="240"/>
      <c r="V871" s="238"/>
      <c r="W871" s="242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  <c r="AK871" s="239"/>
      <c r="AL871" s="239"/>
      <c r="AM871" s="4"/>
      <c r="AN871" s="4"/>
    </row>
    <row r="872" ht="15.75" customHeight="1">
      <c r="A872" s="4"/>
      <c r="B872" s="4"/>
      <c r="C872" s="12"/>
      <c r="D872" s="4"/>
      <c r="E872" s="4"/>
      <c r="F872" s="4"/>
      <c r="G872" s="4"/>
      <c r="H872" s="4"/>
      <c r="I872" s="237"/>
      <c r="J872" s="238"/>
      <c r="K872" s="238"/>
      <c r="L872" s="239"/>
      <c r="M872" s="239"/>
      <c r="N872" s="239"/>
      <c r="O872" s="240"/>
      <c r="P872" s="238"/>
      <c r="Q872" s="241"/>
      <c r="R872" s="239"/>
      <c r="S872" s="239"/>
      <c r="T872" s="239"/>
      <c r="U872" s="240"/>
      <c r="V872" s="238"/>
      <c r="W872" s="242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  <c r="AK872" s="239"/>
      <c r="AL872" s="239"/>
      <c r="AM872" s="4"/>
      <c r="AN872" s="4"/>
    </row>
    <row r="873" ht="15.75" customHeight="1">
      <c r="A873" s="4"/>
      <c r="B873" s="4"/>
      <c r="C873" s="12"/>
      <c r="D873" s="4"/>
      <c r="E873" s="4"/>
      <c r="F873" s="4"/>
      <c r="G873" s="4"/>
      <c r="H873" s="4"/>
      <c r="I873" s="237"/>
      <c r="J873" s="238"/>
      <c r="K873" s="238"/>
      <c r="L873" s="239"/>
      <c r="M873" s="239"/>
      <c r="N873" s="239"/>
      <c r="O873" s="240"/>
      <c r="P873" s="238"/>
      <c r="Q873" s="241"/>
      <c r="R873" s="239"/>
      <c r="S873" s="239"/>
      <c r="T873" s="239"/>
      <c r="U873" s="240"/>
      <c r="V873" s="238"/>
      <c r="W873" s="242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  <c r="AK873" s="239"/>
      <c r="AL873" s="239"/>
      <c r="AM873" s="4"/>
      <c r="AN873" s="4"/>
    </row>
    <row r="874" ht="15.75" customHeight="1">
      <c r="A874" s="4"/>
      <c r="B874" s="4"/>
      <c r="C874" s="12"/>
      <c r="D874" s="4"/>
      <c r="E874" s="4"/>
      <c r="F874" s="4"/>
      <c r="G874" s="4"/>
      <c r="H874" s="4"/>
      <c r="I874" s="237"/>
      <c r="J874" s="238"/>
      <c r="K874" s="238"/>
      <c r="L874" s="239"/>
      <c r="M874" s="239"/>
      <c r="N874" s="239"/>
      <c r="O874" s="240"/>
      <c r="P874" s="238"/>
      <c r="Q874" s="241"/>
      <c r="R874" s="239"/>
      <c r="S874" s="239"/>
      <c r="T874" s="239"/>
      <c r="U874" s="240"/>
      <c r="V874" s="238"/>
      <c r="W874" s="242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  <c r="AK874" s="239"/>
      <c r="AL874" s="239"/>
      <c r="AM874" s="4"/>
      <c r="AN874" s="4"/>
    </row>
    <row r="875" ht="15.75" customHeight="1">
      <c r="A875" s="4"/>
      <c r="B875" s="4"/>
      <c r="C875" s="12"/>
      <c r="D875" s="4"/>
      <c r="E875" s="4"/>
      <c r="F875" s="4"/>
      <c r="G875" s="4"/>
      <c r="H875" s="4"/>
      <c r="I875" s="237"/>
      <c r="J875" s="238"/>
      <c r="K875" s="238"/>
      <c r="L875" s="239"/>
      <c r="M875" s="239"/>
      <c r="N875" s="239"/>
      <c r="O875" s="240"/>
      <c r="P875" s="238"/>
      <c r="Q875" s="241"/>
      <c r="R875" s="239"/>
      <c r="S875" s="239"/>
      <c r="T875" s="239"/>
      <c r="U875" s="240"/>
      <c r="V875" s="238"/>
      <c r="W875" s="242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  <c r="AK875" s="239"/>
      <c r="AL875" s="239"/>
      <c r="AM875" s="4"/>
      <c r="AN875" s="4"/>
    </row>
    <row r="876" ht="15.75" customHeight="1">
      <c r="A876" s="4"/>
      <c r="B876" s="4"/>
      <c r="C876" s="12"/>
      <c r="D876" s="4"/>
      <c r="E876" s="4"/>
      <c r="F876" s="4"/>
      <c r="G876" s="4"/>
      <c r="H876" s="4"/>
      <c r="I876" s="237"/>
      <c r="J876" s="238"/>
      <c r="K876" s="238"/>
      <c r="L876" s="239"/>
      <c r="M876" s="239"/>
      <c r="N876" s="239"/>
      <c r="O876" s="240"/>
      <c r="P876" s="238"/>
      <c r="Q876" s="241"/>
      <c r="R876" s="239"/>
      <c r="S876" s="239"/>
      <c r="T876" s="239"/>
      <c r="U876" s="240"/>
      <c r="V876" s="238"/>
      <c r="W876" s="242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  <c r="AK876" s="239"/>
      <c r="AL876" s="239"/>
      <c r="AM876" s="4"/>
      <c r="AN876" s="4"/>
    </row>
    <row r="877" ht="15.75" customHeight="1">
      <c r="A877" s="4"/>
      <c r="B877" s="4"/>
      <c r="C877" s="12"/>
      <c r="D877" s="4"/>
      <c r="E877" s="4"/>
      <c r="F877" s="4"/>
      <c r="G877" s="4"/>
      <c r="H877" s="4"/>
      <c r="I877" s="237"/>
      <c r="J877" s="238"/>
      <c r="K877" s="238"/>
      <c r="L877" s="239"/>
      <c r="M877" s="239"/>
      <c r="N877" s="239"/>
      <c r="O877" s="240"/>
      <c r="P877" s="238"/>
      <c r="Q877" s="241"/>
      <c r="R877" s="239"/>
      <c r="S877" s="239"/>
      <c r="T877" s="239"/>
      <c r="U877" s="240"/>
      <c r="V877" s="238"/>
      <c r="W877" s="242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  <c r="AK877" s="239"/>
      <c r="AL877" s="239"/>
      <c r="AM877" s="4"/>
      <c r="AN877" s="4"/>
    </row>
    <row r="878" ht="15.75" customHeight="1">
      <c r="A878" s="4"/>
      <c r="B878" s="4"/>
      <c r="C878" s="12"/>
      <c r="D878" s="4"/>
      <c r="E878" s="4"/>
      <c r="F878" s="4"/>
      <c r="G878" s="4"/>
      <c r="H878" s="4"/>
      <c r="I878" s="237"/>
      <c r="J878" s="238"/>
      <c r="K878" s="238"/>
      <c r="L878" s="239"/>
      <c r="M878" s="239"/>
      <c r="N878" s="239"/>
      <c r="O878" s="240"/>
      <c r="P878" s="238"/>
      <c r="Q878" s="241"/>
      <c r="R878" s="239"/>
      <c r="S878" s="239"/>
      <c r="T878" s="239"/>
      <c r="U878" s="240"/>
      <c r="V878" s="238"/>
      <c r="W878" s="242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  <c r="AK878" s="239"/>
      <c r="AL878" s="239"/>
      <c r="AM878" s="4"/>
      <c r="AN878" s="4"/>
    </row>
    <row r="879" ht="15.75" customHeight="1">
      <c r="A879" s="4"/>
      <c r="B879" s="4"/>
      <c r="C879" s="12"/>
      <c r="D879" s="4"/>
      <c r="E879" s="4"/>
      <c r="F879" s="4"/>
      <c r="G879" s="4"/>
      <c r="H879" s="4"/>
      <c r="I879" s="237"/>
      <c r="J879" s="238"/>
      <c r="K879" s="238"/>
      <c r="L879" s="239"/>
      <c r="M879" s="239"/>
      <c r="N879" s="239"/>
      <c r="O879" s="240"/>
      <c r="P879" s="238"/>
      <c r="Q879" s="241"/>
      <c r="R879" s="239"/>
      <c r="S879" s="239"/>
      <c r="T879" s="239"/>
      <c r="U879" s="240"/>
      <c r="V879" s="238"/>
      <c r="W879" s="242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  <c r="AK879" s="239"/>
      <c r="AL879" s="239"/>
      <c r="AM879" s="4"/>
      <c r="AN879" s="4"/>
    </row>
    <row r="880" ht="15.75" customHeight="1">
      <c r="A880" s="4"/>
      <c r="B880" s="4"/>
      <c r="C880" s="12"/>
      <c r="D880" s="4"/>
      <c r="E880" s="4"/>
      <c r="F880" s="4"/>
      <c r="G880" s="4"/>
      <c r="H880" s="4"/>
      <c r="I880" s="237"/>
      <c r="J880" s="238"/>
      <c r="K880" s="238"/>
      <c r="L880" s="239"/>
      <c r="M880" s="239"/>
      <c r="N880" s="239"/>
      <c r="O880" s="240"/>
      <c r="P880" s="238"/>
      <c r="Q880" s="241"/>
      <c r="R880" s="239"/>
      <c r="S880" s="239"/>
      <c r="T880" s="239"/>
      <c r="U880" s="240"/>
      <c r="V880" s="238"/>
      <c r="W880" s="242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  <c r="AK880" s="239"/>
      <c r="AL880" s="239"/>
      <c r="AM880" s="4"/>
      <c r="AN880" s="4"/>
    </row>
    <row r="881" ht="15.75" customHeight="1">
      <c r="A881" s="4"/>
      <c r="B881" s="4"/>
      <c r="C881" s="12"/>
      <c r="D881" s="4"/>
      <c r="E881" s="4"/>
      <c r="F881" s="4"/>
      <c r="G881" s="4"/>
      <c r="H881" s="4"/>
      <c r="I881" s="237"/>
      <c r="J881" s="238"/>
      <c r="K881" s="238"/>
      <c r="L881" s="239"/>
      <c r="M881" s="239"/>
      <c r="N881" s="239"/>
      <c r="O881" s="240"/>
      <c r="P881" s="238"/>
      <c r="Q881" s="241"/>
      <c r="R881" s="239"/>
      <c r="S881" s="239"/>
      <c r="T881" s="239"/>
      <c r="U881" s="240"/>
      <c r="V881" s="238"/>
      <c r="W881" s="242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  <c r="AK881" s="239"/>
      <c r="AL881" s="239"/>
      <c r="AM881" s="4"/>
      <c r="AN881" s="4"/>
    </row>
    <row r="882" ht="15.75" customHeight="1">
      <c r="A882" s="4"/>
      <c r="B882" s="4"/>
      <c r="C882" s="12"/>
      <c r="D882" s="4"/>
      <c r="E882" s="4"/>
      <c r="F882" s="4"/>
      <c r="G882" s="4"/>
      <c r="H882" s="4"/>
      <c r="I882" s="237"/>
      <c r="J882" s="238"/>
      <c r="K882" s="238"/>
      <c r="L882" s="239"/>
      <c r="M882" s="239"/>
      <c r="N882" s="239"/>
      <c r="O882" s="240"/>
      <c r="P882" s="238"/>
      <c r="Q882" s="241"/>
      <c r="R882" s="239"/>
      <c r="S882" s="239"/>
      <c r="T882" s="239"/>
      <c r="U882" s="240"/>
      <c r="V882" s="238"/>
      <c r="W882" s="242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  <c r="AK882" s="239"/>
      <c r="AL882" s="239"/>
      <c r="AM882" s="4"/>
      <c r="AN882" s="4"/>
    </row>
    <row r="883" ht="15.75" customHeight="1">
      <c r="A883" s="4"/>
      <c r="B883" s="4"/>
      <c r="C883" s="12"/>
      <c r="D883" s="4"/>
      <c r="E883" s="4"/>
      <c r="F883" s="4"/>
      <c r="G883" s="4"/>
      <c r="H883" s="4"/>
      <c r="I883" s="237"/>
      <c r="J883" s="238"/>
      <c r="K883" s="238"/>
      <c r="L883" s="239"/>
      <c r="M883" s="239"/>
      <c r="N883" s="239"/>
      <c r="O883" s="240"/>
      <c r="P883" s="238"/>
      <c r="Q883" s="241"/>
      <c r="R883" s="239"/>
      <c r="S883" s="239"/>
      <c r="T883" s="239"/>
      <c r="U883" s="240"/>
      <c r="V883" s="238"/>
      <c r="W883" s="242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  <c r="AK883" s="239"/>
      <c r="AL883" s="239"/>
      <c r="AM883" s="4"/>
      <c r="AN883" s="4"/>
    </row>
    <row r="884" ht="15.75" customHeight="1">
      <c r="A884" s="4"/>
      <c r="B884" s="4"/>
      <c r="C884" s="12"/>
      <c r="D884" s="4"/>
      <c r="E884" s="4"/>
      <c r="F884" s="4"/>
      <c r="G884" s="4"/>
      <c r="H884" s="4"/>
      <c r="I884" s="237"/>
      <c r="J884" s="238"/>
      <c r="K884" s="238"/>
      <c r="L884" s="239"/>
      <c r="M884" s="239"/>
      <c r="N884" s="239"/>
      <c r="O884" s="240"/>
      <c r="P884" s="238"/>
      <c r="Q884" s="241"/>
      <c r="R884" s="239"/>
      <c r="S884" s="239"/>
      <c r="T884" s="239"/>
      <c r="U884" s="240"/>
      <c r="V884" s="238"/>
      <c r="W884" s="242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  <c r="AK884" s="239"/>
      <c r="AL884" s="239"/>
      <c r="AM884" s="4"/>
      <c r="AN884" s="4"/>
    </row>
    <row r="885" ht="15.75" customHeight="1">
      <c r="A885" s="4"/>
      <c r="B885" s="4"/>
      <c r="C885" s="12"/>
      <c r="D885" s="4"/>
      <c r="E885" s="4"/>
      <c r="F885" s="4"/>
      <c r="G885" s="4"/>
      <c r="H885" s="4"/>
      <c r="I885" s="237"/>
      <c r="J885" s="238"/>
      <c r="K885" s="238"/>
      <c r="L885" s="239"/>
      <c r="M885" s="239"/>
      <c r="N885" s="239"/>
      <c r="O885" s="240"/>
      <c r="P885" s="238"/>
      <c r="Q885" s="241"/>
      <c r="R885" s="239"/>
      <c r="S885" s="239"/>
      <c r="T885" s="239"/>
      <c r="U885" s="240"/>
      <c r="V885" s="238"/>
      <c r="W885" s="242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  <c r="AK885" s="239"/>
      <c r="AL885" s="239"/>
      <c r="AM885" s="4"/>
      <c r="AN885" s="4"/>
    </row>
    <row r="886" ht="15.75" customHeight="1">
      <c r="A886" s="4"/>
      <c r="B886" s="4"/>
      <c r="C886" s="12"/>
      <c r="D886" s="4"/>
      <c r="E886" s="4"/>
      <c r="F886" s="4"/>
      <c r="G886" s="4"/>
      <c r="H886" s="4"/>
      <c r="I886" s="237"/>
      <c r="J886" s="238"/>
      <c r="K886" s="238"/>
      <c r="L886" s="239"/>
      <c r="M886" s="239"/>
      <c r="N886" s="239"/>
      <c r="O886" s="240"/>
      <c r="P886" s="238"/>
      <c r="Q886" s="241"/>
      <c r="R886" s="239"/>
      <c r="S886" s="239"/>
      <c r="T886" s="239"/>
      <c r="U886" s="240"/>
      <c r="V886" s="238"/>
      <c r="W886" s="242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  <c r="AK886" s="239"/>
      <c r="AL886" s="239"/>
      <c r="AM886" s="4"/>
      <c r="AN886" s="4"/>
    </row>
    <row r="887" ht="15.75" customHeight="1">
      <c r="A887" s="4"/>
      <c r="B887" s="4"/>
      <c r="C887" s="12"/>
      <c r="D887" s="4"/>
      <c r="E887" s="4"/>
      <c r="F887" s="4"/>
      <c r="G887" s="4"/>
      <c r="H887" s="4"/>
      <c r="I887" s="237"/>
      <c r="J887" s="238"/>
      <c r="K887" s="238"/>
      <c r="L887" s="239"/>
      <c r="M887" s="239"/>
      <c r="N887" s="239"/>
      <c r="O887" s="240"/>
      <c r="P887" s="238"/>
      <c r="Q887" s="241"/>
      <c r="R887" s="239"/>
      <c r="S887" s="239"/>
      <c r="T887" s="239"/>
      <c r="U887" s="240"/>
      <c r="V887" s="238"/>
      <c r="W887" s="242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  <c r="AK887" s="239"/>
      <c r="AL887" s="239"/>
      <c r="AM887" s="4"/>
      <c r="AN887" s="4"/>
    </row>
    <row r="888" ht="15.75" customHeight="1">
      <c r="A888" s="4"/>
      <c r="B888" s="4"/>
      <c r="C888" s="12"/>
      <c r="D888" s="4"/>
      <c r="E888" s="4"/>
      <c r="F888" s="4"/>
      <c r="G888" s="4"/>
      <c r="H888" s="4"/>
      <c r="I888" s="237"/>
      <c r="J888" s="238"/>
      <c r="K888" s="238"/>
      <c r="L888" s="239"/>
      <c r="M888" s="239"/>
      <c r="N888" s="239"/>
      <c r="O888" s="240"/>
      <c r="P888" s="238"/>
      <c r="Q888" s="241"/>
      <c r="R888" s="239"/>
      <c r="S888" s="239"/>
      <c r="T888" s="239"/>
      <c r="U888" s="240"/>
      <c r="V888" s="238"/>
      <c r="W888" s="242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  <c r="AK888" s="239"/>
      <c r="AL888" s="239"/>
      <c r="AM888" s="4"/>
      <c r="AN888" s="4"/>
    </row>
    <row r="889" ht="15.75" customHeight="1">
      <c r="A889" s="4"/>
      <c r="B889" s="4"/>
      <c r="C889" s="12"/>
      <c r="D889" s="4"/>
      <c r="E889" s="4"/>
      <c r="F889" s="4"/>
      <c r="G889" s="4"/>
      <c r="H889" s="4"/>
      <c r="I889" s="237"/>
      <c r="J889" s="238"/>
      <c r="K889" s="238"/>
      <c r="L889" s="239"/>
      <c r="M889" s="239"/>
      <c r="N889" s="239"/>
      <c r="O889" s="240"/>
      <c r="P889" s="238"/>
      <c r="Q889" s="241"/>
      <c r="R889" s="239"/>
      <c r="S889" s="239"/>
      <c r="T889" s="239"/>
      <c r="U889" s="240"/>
      <c r="V889" s="238"/>
      <c r="W889" s="242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  <c r="AK889" s="239"/>
      <c r="AL889" s="239"/>
      <c r="AM889" s="4"/>
      <c r="AN889" s="4"/>
    </row>
    <row r="890" ht="15.75" customHeight="1">
      <c r="A890" s="4"/>
      <c r="B890" s="4"/>
      <c r="C890" s="12"/>
      <c r="D890" s="4"/>
      <c r="E890" s="4"/>
      <c r="F890" s="4"/>
      <c r="G890" s="4"/>
      <c r="H890" s="4"/>
      <c r="I890" s="237"/>
      <c r="J890" s="238"/>
      <c r="K890" s="238"/>
      <c r="L890" s="239"/>
      <c r="M890" s="239"/>
      <c r="N890" s="239"/>
      <c r="O890" s="240"/>
      <c r="P890" s="238"/>
      <c r="Q890" s="241"/>
      <c r="R890" s="239"/>
      <c r="S890" s="239"/>
      <c r="T890" s="239"/>
      <c r="U890" s="240"/>
      <c r="V890" s="238"/>
      <c r="W890" s="242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  <c r="AK890" s="239"/>
      <c r="AL890" s="239"/>
      <c r="AM890" s="4"/>
      <c r="AN890" s="4"/>
    </row>
    <row r="891" ht="15.75" customHeight="1">
      <c r="A891" s="4"/>
      <c r="B891" s="4"/>
      <c r="C891" s="12"/>
      <c r="D891" s="4"/>
      <c r="E891" s="4"/>
      <c r="F891" s="4"/>
      <c r="G891" s="4"/>
      <c r="H891" s="4"/>
      <c r="I891" s="237"/>
      <c r="J891" s="238"/>
      <c r="K891" s="238"/>
      <c r="L891" s="239"/>
      <c r="M891" s="239"/>
      <c r="N891" s="239"/>
      <c r="O891" s="240"/>
      <c r="P891" s="238"/>
      <c r="Q891" s="241"/>
      <c r="R891" s="239"/>
      <c r="S891" s="239"/>
      <c r="T891" s="239"/>
      <c r="U891" s="240"/>
      <c r="V891" s="238"/>
      <c r="W891" s="242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  <c r="AK891" s="239"/>
      <c r="AL891" s="239"/>
      <c r="AM891" s="4"/>
      <c r="AN891" s="4"/>
    </row>
    <row r="892" ht="15.75" customHeight="1">
      <c r="A892" s="4"/>
      <c r="B892" s="4"/>
      <c r="C892" s="12"/>
      <c r="D892" s="4"/>
      <c r="E892" s="4"/>
      <c r="F892" s="4"/>
      <c r="G892" s="4"/>
      <c r="H892" s="4"/>
      <c r="I892" s="237"/>
      <c r="J892" s="238"/>
      <c r="K892" s="238"/>
      <c r="L892" s="239"/>
      <c r="M892" s="239"/>
      <c r="N892" s="239"/>
      <c r="O892" s="240"/>
      <c r="P892" s="238"/>
      <c r="Q892" s="241"/>
      <c r="R892" s="239"/>
      <c r="S892" s="239"/>
      <c r="T892" s="239"/>
      <c r="U892" s="240"/>
      <c r="V892" s="238"/>
      <c r="W892" s="242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  <c r="AK892" s="239"/>
      <c r="AL892" s="239"/>
      <c r="AM892" s="4"/>
      <c r="AN892" s="4"/>
    </row>
    <row r="893" ht="15.75" customHeight="1">
      <c r="A893" s="4"/>
      <c r="B893" s="4"/>
      <c r="C893" s="12"/>
      <c r="D893" s="4"/>
      <c r="E893" s="4"/>
      <c r="F893" s="4"/>
      <c r="G893" s="4"/>
      <c r="H893" s="4"/>
      <c r="I893" s="237"/>
      <c r="J893" s="238"/>
      <c r="K893" s="238"/>
      <c r="L893" s="239"/>
      <c r="M893" s="239"/>
      <c r="N893" s="239"/>
      <c r="O893" s="240"/>
      <c r="P893" s="238"/>
      <c r="Q893" s="241"/>
      <c r="R893" s="239"/>
      <c r="S893" s="239"/>
      <c r="T893" s="239"/>
      <c r="U893" s="240"/>
      <c r="V893" s="238"/>
      <c r="W893" s="242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  <c r="AK893" s="239"/>
      <c r="AL893" s="239"/>
      <c r="AM893" s="4"/>
      <c r="AN893" s="4"/>
    </row>
    <row r="894" ht="15.75" customHeight="1">
      <c r="A894" s="4"/>
      <c r="B894" s="4"/>
      <c r="C894" s="12"/>
      <c r="D894" s="4"/>
      <c r="E894" s="4"/>
      <c r="F894" s="4"/>
      <c r="G894" s="4"/>
      <c r="H894" s="4"/>
      <c r="I894" s="237"/>
      <c r="J894" s="238"/>
      <c r="K894" s="238"/>
      <c r="L894" s="239"/>
      <c r="M894" s="239"/>
      <c r="N894" s="239"/>
      <c r="O894" s="240"/>
      <c r="P894" s="238"/>
      <c r="Q894" s="241"/>
      <c r="R894" s="239"/>
      <c r="S894" s="239"/>
      <c r="T894" s="239"/>
      <c r="U894" s="240"/>
      <c r="V894" s="238"/>
      <c r="W894" s="242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  <c r="AK894" s="239"/>
      <c r="AL894" s="239"/>
      <c r="AM894" s="4"/>
      <c r="AN894" s="4"/>
    </row>
    <row r="895" ht="15.75" customHeight="1">
      <c r="A895" s="4"/>
      <c r="B895" s="4"/>
      <c r="C895" s="12"/>
      <c r="D895" s="4"/>
      <c r="E895" s="4"/>
      <c r="F895" s="4"/>
      <c r="G895" s="4"/>
      <c r="H895" s="4"/>
      <c r="I895" s="237"/>
      <c r="J895" s="238"/>
      <c r="K895" s="238"/>
      <c r="L895" s="239"/>
      <c r="M895" s="239"/>
      <c r="N895" s="239"/>
      <c r="O895" s="240"/>
      <c r="P895" s="238"/>
      <c r="Q895" s="241"/>
      <c r="R895" s="239"/>
      <c r="S895" s="239"/>
      <c r="T895" s="239"/>
      <c r="U895" s="240"/>
      <c r="V895" s="238"/>
      <c r="W895" s="242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  <c r="AK895" s="239"/>
      <c r="AL895" s="239"/>
      <c r="AM895" s="4"/>
      <c r="AN895" s="4"/>
    </row>
    <row r="896" ht="15.75" customHeight="1">
      <c r="A896" s="4"/>
      <c r="B896" s="4"/>
      <c r="C896" s="12"/>
      <c r="D896" s="4"/>
      <c r="E896" s="4"/>
      <c r="F896" s="4"/>
      <c r="G896" s="4"/>
      <c r="H896" s="4"/>
      <c r="I896" s="237"/>
      <c r="J896" s="238"/>
      <c r="K896" s="238"/>
      <c r="L896" s="239"/>
      <c r="M896" s="239"/>
      <c r="N896" s="239"/>
      <c r="O896" s="240"/>
      <c r="P896" s="238"/>
      <c r="Q896" s="241"/>
      <c r="R896" s="239"/>
      <c r="S896" s="239"/>
      <c r="T896" s="239"/>
      <c r="U896" s="240"/>
      <c r="V896" s="238"/>
      <c r="W896" s="242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  <c r="AK896" s="239"/>
      <c r="AL896" s="239"/>
      <c r="AM896" s="4"/>
      <c r="AN896" s="4"/>
    </row>
    <row r="897" ht="15.75" customHeight="1">
      <c r="A897" s="4"/>
      <c r="B897" s="4"/>
      <c r="C897" s="12"/>
      <c r="D897" s="4"/>
      <c r="E897" s="4"/>
      <c r="F897" s="4"/>
      <c r="G897" s="4"/>
      <c r="H897" s="4"/>
      <c r="I897" s="237"/>
      <c r="J897" s="238"/>
      <c r="K897" s="238"/>
      <c r="L897" s="239"/>
      <c r="M897" s="239"/>
      <c r="N897" s="239"/>
      <c r="O897" s="240"/>
      <c r="P897" s="238"/>
      <c r="Q897" s="241"/>
      <c r="R897" s="239"/>
      <c r="S897" s="239"/>
      <c r="T897" s="239"/>
      <c r="U897" s="240"/>
      <c r="V897" s="238"/>
      <c r="W897" s="242"/>
      <c r="X897" s="239"/>
      <c r="Y897" s="239"/>
      <c r="Z897" s="239"/>
      <c r="AA897" s="239"/>
      <c r="AB897" s="239"/>
      <c r="AC897" s="239"/>
      <c r="AD897" s="239"/>
      <c r="AE897" s="239"/>
      <c r="AF897" s="239"/>
      <c r="AG897" s="239"/>
      <c r="AH897" s="239"/>
      <c r="AI897" s="239"/>
      <c r="AJ897" s="239"/>
      <c r="AK897" s="239"/>
      <c r="AL897" s="239"/>
      <c r="AM897" s="4"/>
      <c r="AN897" s="4"/>
    </row>
    <row r="898" ht="15.75" customHeight="1">
      <c r="A898" s="4"/>
      <c r="B898" s="4"/>
      <c r="C898" s="12"/>
      <c r="D898" s="4"/>
      <c r="E898" s="4"/>
      <c r="F898" s="4"/>
      <c r="G898" s="4"/>
      <c r="H898" s="4"/>
      <c r="I898" s="237"/>
      <c r="J898" s="238"/>
      <c r="K898" s="238"/>
      <c r="L898" s="239"/>
      <c r="M898" s="239"/>
      <c r="N898" s="239"/>
      <c r="O898" s="240"/>
      <c r="P898" s="238"/>
      <c r="Q898" s="241"/>
      <c r="R898" s="239"/>
      <c r="S898" s="239"/>
      <c r="T898" s="239"/>
      <c r="U898" s="240"/>
      <c r="V898" s="238"/>
      <c r="W898" s="242"/>
      <c r="X898" s="239"/>
      <c r="Y898" s="239"/>
      <c r="Z898" s="239"/>
      <c r="AA898" s="239"/>
      <c r="AB898" s="239"/>
      <c r="AC898" s="239"/>
      <c r="AD898" s="239"/>
      <c r="AE898" s="239"/>
      <c r="AF898" s="239"/>
      <c r="AG898" s="239"/>
      <c r="AH898" s="239"/>
      <c r="AI898" s="239"/>
      <c r="AJ898" s="239"/>
      <c r="AK898" s="239"/>
      <c r="AL898" s="239"/>
      <c r="AM898" s="4"/>
      <c r="AN898" s="4"/>
    </row>
    <row r="899" ht="15.75" customHeight="1">
      <c r="A899" s="4"/>
      <c r="B899" s="4"/>
      <c r="C899" s="12"/>
      <c r="D899" s="4"/>
      <c r="E899" s="4"/>
      <c r="F899" s="4"/>
      <c r="G899" s="4"/>
      <c r="H899" s="4"/>
      <c r="I899" s="237"/>
      <c r="J899" s="238"/>
      <c r="K899" s="238"/>
      <c r="L899" s="239"/>
      <c r="M899" s="239"/>
      <c r="N899" s="239"/>
      <c r="O899" s="240"/>
      <c r="P899" s="238"/>
      <c r="Q899" s="241"/>
      <c r="R899" s="239"/>
      <c r="S899" s="239"/>
      <c r="T899" s="239"/>
      <c r="U899" s="240"/>
      <c r="V899" s="238"/>
      <c r="W899" s="242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  <c r="AK899" s="239"/>
      <c r="AL899" s="239"/>
      <c r="AM899" s="4"/>
      <c r="AN899" s="4"/>
    </row>
    <row r="900" ht="15.75" customHeight="1">
      <c r="A900" s="4"/>
      <c r="B900" s="4"/>
      <c r="C900" s="12"/>
      <c r="D900" s="4"/>
      <c r="E900" s="4"/>
      <c r="F900" s="4"/>
      <c r="G900" s="4"/>
      <c r="H900" s="4"/>
      <c r="I900" s="237"/>
      <c r="J900" s="238"/>
      <c r="K900" s="238"/>
      <c r="L900" s="239"/>
      <c r="M900" s="239"/>
      <c r="N900" s="239"/>
      <c r="O900" s="240"/>
      <c r="P900" s="238"/>
      <c r="Q900" s="241"/>
      <c r="R900" s="239"/>
      <c r="S900" s="239"/>
      <c r="T900" s="239"/>
      <c r="U900" s="240"/>
      <c r="V900" s="238"/>
      <c r="W900" s="242"/>
      <c r="X900" s="239"/>
      <c r="Y900" s="239"/>
      <c r="Z900" s="239"/>
      <c r="AA900" s="239"/>
      <c r="AB900" s="239"/>
      <c r="AC900" s="239"/>
      <c r="AD900" s="239"/>
      <c r="AE900" s="239"/>
      <c r="AF900" s="239"/>
      <c r="AG900" s="239"/>
      <c r="AH900" s="239"/>
      <c r="AI900" s="239"/>
      <c r="AJ900" s="239"/>
      <c r="AK900" s="239"/>
      <c r="AL900" s="239"/>
      <c r="AM900" s="4"/>
      <c r="AN900" s="4"/>
    </row>
    <row r="901" ht="15.75" customHeight="1">
      <c r="A901" s="4"/>
      <c r="B901" s="4"/>
      <c r="C901" s="12"/>
      <c r="D901" s="4"/>
      <c r="E901" s="4"/>
      <c r="F901" s="4"/>
      <c r="G901" s="4"/>
      <c r="H901" s="4"/>
      <c r="I901" s="237"/>
      <c r="J901" s="238"/>
      <c r="K901" s="238"/>
      <c r="L901" s="239"/>
      <c r="M901" s="239"/>
      <c r="N901" s="239"/>
      <c r="O901" s="240"/>
      <c r="P901" s="238"/>
      <c r="Q901" s="241"/>
      <c r="R901" s="239"/>
      <c r="S901" s="239"/>
      <c r="T901" s="239"/>
      <c r="U901" s="240"/>
      <c r="V901" s="238"/>
      <c r="W901" s="242"/>
      <c r="X901" s="239"/>
      <c r="Y901" s="239"/>
      <c r="Z901" s="239"/>
      <c r="AA901" s="239"/>
      <c r="AB901" s="239"/>
      <c r="AC901" s="239"/>
      <c r="AD901" s="239"/>
      <c r="AE901" s="239"/>
      <c r="AF901" s="239"/>
      <c r="AG901" s="239"/>
      <c r="AH901" s="239"/>
      <c r="AI901" s="239"/>
      <c r="AJ901" s="239"/>
      <c r="AK901" s="239"/>
      <c r="AL901" s="239"/>
      <c r="AM901" s="4"/>
      <c r="AN901" s="4"/>
    </row>
    <row r="902" ht="15.75" customHeight="1">
      <c r="A902" s="4"/>
      <c r="B902" s="4"/>
      <c r="C902" s="12"/>
      <c r="D902" s="4"/>
      <c r="E902" s="4"/>
      <c r="F902" s="4"/>
      <c r="G902" s="4"/>
      <c r="H902" s="4"/>
      <c r="I902" s="237"/>
      <c r="J902" s="238"/>
      <c r="K902" s="238"/>
      <c r="L902" s="239"/>
      <c r="M902" s="239"/>
      <c r="N902" s="239"/>
      <c r="O902" s="240"/>
      <c r="P902" s="238"/>
      <c r="Q902" s="241"/>
      <c r="R902" s="239"/>
      <c r="S902" s="239"/>
      <c r="T902" s="239"/>
      <c r="U902" s="240"/>
      <c r="V902" s="238"/>
      <c r="W902" s="242"/>
      <c r="X902" s="239"/>
      <c r="Y902" s="239"/>
      <c r="Z902" s="239"/>
      <c r="AA902" s="239"/>
      <c r="AB902" s="239"/>
      <c r="AC902" s="239"/>
      <c r="AD902" s="239"/>
      <c r="AE902" s="239"/>
      <c r="AF902" s="239"/>
      <c r="AG902" s="239"/>
      <c r="AH902" s="239"/>
      <c r="AI902" s="239"/>
      <c r="AJ902" s="239"/>
      <c r="AK902" s="239"/>
      <c r="AL902" s="239"/>
      <c r="AM902" s="4"/>
      <c r="AN902" s="4"/>
    </row>
    <row r="903" ht="15.75" customHeight="1">
      <c r="A903" s="4"/>
      <c r="B903" s="4"/>
      <c r="C903" s="12"/>
      <c r="D903" s="4"/>
      <c r="E903" s="4"/>
      <c r="F903" s="4"/>
      <c r="G903" s="4"/>
      <c r="H903" s="4"/>
      <c r="I903" s="237"/>
      <c r="J903" s="238"/>
      <c r="K903" s="238"/>
      <c r="L903" s="239"/>
      <c r="M903" s="239"/>
      <c r="N903" s="239"/>
      <c r="O903" s="240"/>
      <c r="P903" s="238"/>
      <c r="Q903" s="241"/>
      <c r="R903" s="239"/>
      <c r="S903" s="239"/>
      <c r="T903" s="239"/>
      <c r="U903" s="240"/>
      <c r="V903" s="238"/>
      <c r="W903" s="242"/>
      <c r="X903" s="239"/>
      <c r="Y903" s="239"/>
      <c r="Z903" s="239"/>
      <c r="AA903" s="239"/>
      <c r="AB903" s="239"/>
      <c r="AC903" s="239"/>
      <c r="AD903" s="239"/>
      <c r="AE903" s="239"/>
      <c r="AF903" s="239"/>
      <c r="AG903" s="239"/>
      <c r="AH903" s="239"/>
      <c r="AI903" s="239"/>
      <c r="AJ903" s="239"/>
      <c r="AK903" s="239"/>
      <c r="AL903" s="239"/>
      <c r="AM903" s="4"/>
      <c r="AN903" s="4"/>
    </row>
    <row r="904" ht="15.75" customHeight="1">
      <c r="A904" s="4"/>
      <c r="B904" s="4"/>
      <c r="C904" s="12"/>
      <c r="D904" s="4"/>
      <c r="E904" s="4"/>
      <c r="F904" s="4"/>
      <c r="G904" s="4"/>
      <c r="H904" s="4"/>
      <c r="I904" s="237"/>
      <c r="J904" s="238"/>
      <c r="K904" s="238"/>
      <c r="L904" s="239"/>
      <c r="M904" s="239"/>
      <c r="N904" s="239"/>
      <c r="O904" s="240"/>
      <c r="P904" s="238"/>
      <c r="Q904" s="241"/>
      <c r="R904" s="239"/>
      <c r="S904" s="239"/>
      <c r="T904" s="239"/>
      <c r="U904" s="240"/>
      <c r="V904" s="238"/>
      <c r="W904" s="242"/>
      <c r="X904" s="239"/>
      <c r="Y904" s="239"/>
      <c r="Z904" s="239"/>
      <c r="AA904" s="239"/>
      <c r="AB904" s="239"/>
      <c r="AC904" s="239"/>
      <c r="AD904" s="239"/>
      <c r="AE904" s="239"/>
      <c r="AF904" s="239"/>
      <c r="AG904" s="239"/>
      <c r="AH904" s="239"/>
      <c r="AI904" s="239"/>
      <c r="AJ904" s="239"/>
      <c r="AK904" s="239"/>
      <c r="AL904" s="239"/>
      <c r="AM904" s="4"/>
      <c r="AN904" s="4"/>
    </row>
    <row r="905" ht="15.75" customHeight="1">
      <c r="A905" s="4"/>
      <c r="B905" s="4"/>
      <c r="C905" s="12"/>
      <c r="D905" s="4"/>
      <c r="E905" s="4"/>
      <c r="F905" s="4"/>
      <c r="G905" s="4"/>
      <c r="H905" s="4"/>
      <c r="I905" s="237"/>
      <c r="J905" s="238"/>
      <c r="K905" s="238"/>
      <c r="L905" s="239"/>
      <c r="M905" s="239"/>
      <c r="N905" s="239"/>
      <c r="O905" s="240"/>
      <c r="P905" s="238"/>
      <c r="Q905" s="241"/>
      <c r="R905" s="239"/>
      <c r="S905" s="239"/>
      <c r="T905" s="239"/>
      <c r="U905" s="240"/>
      <c r="V905" s="238"/>
      <c r="W905" s="242"/>
      <c r="X905" s="239"/>
      <c r="Y905" s="239"/>
      <c r="Z905" s="239"/>
      <c r="AA905" s="239"/>
      <c r="AB905" s="239"/>
      <c r="AC905" s="239"/>
      <c r="AD905" s="239"/>
      <c r="AE905" s="239"/>
      <c r="AF905" s="239"/>
      <c r="AG905" s="239"/>
      <c r="AH905" s="239"/>
      <c r="AI905" s="239"/>
      <c r="AJ905" s="239"/>
      <c r="AK905" s="239"/>
      <c r="AL905" s="239"/>
      <c r="AM905" s="4"/>
      <c r="AN905" s="4"/>
    </row>
    <row r="906" ht="15.75" customHeight="1">
      <c r="A906" s="4"/>
      <c r="B906" s="4"/>
      <c r="C906" s="12"/>
      <c r="D906" s="4"/>
      <c r="E906" s="4"/>
      <c r="F906" s="4"/>
      <c r="G906" s="4"/>
      <c r="H906" s="4"/>
      <c r="I906" s="237"/>
      <c r="J906" s="238"/>
      <c r="K906" s="238"/>
      <c r="L906" s="239"/>
      <c r="M906" s="239"/>
      <c r="N906" s="239"/>
      <c r="O906" s="240"/>
      <c r="P906" s="238"/>
      <c r="Q906" s="241"/>
      <c r="R906" s="239"/>
      <c r="S906" s="239"/>
      <c r="T906" s="239"/>
      <c r="U906" s="240"/>
      <c r="V906" s="238"/>
      <c r="W906" s="242"/>
      <c r="X906" s="239"/>
      <c r="Y906" s="239"/>
      <c r="Z906" s="239"/>
      <c r="AA906" s="239"/>
      <c r="AB906" s="239"/>
      <c r="AC906" s="239"/>
      <c r="AD906" s="239"/>
      <c r="AE906" s="239"/>
      <c r="AF906" s="239"/>
      <c r="AG906" s="239"/>
      <c r="AH906" s="239"/>
      <c r="AI906" s="239"/>
      <c r="AJ906" s="239"/>
      <c r="AK906" s="239"/>
      <c r="AL906" s="239"/>
      <c r="AM906" s="4"/>
      <c r="AN906" s="4"/>
    </row>
    <row r="907" ht="15.75" customHeight="1">
      <c r="A907" s="4"/>
      <c r="B907" s="4"/>
      <c r="C907" s="12"/>
      <c r="D907" s="4"/>
      <c r="E907" s="4"/>
      <c r="F907" s="4"/>
      <c r="G907" s="4"/>
      <c r="H907" s="4"/>
      <c r="I907" s="237"/>
      <c r="J907" s="238"/>
      <c r="K907" s="238"/>
      <c r="L907" s="239"/>
      <c r="M907" s="239"/>
      <c r="N907" s="239"/>
      <c r="O907" s="240"/>
      <c r="P907" s="238"/>
      <c r="Q907" s="241"/>
      <c r="R907" s="239"/>
      <c r="S907" s="239"/>
      <c r="T907" s="239"/>
      <c r="U907" s="240"/>
      <c r="V907" s="238"/>
      <c r="W907" s="242"/>
      <c r="X907" s="239"/>
      <c r="Y907" s="239"/>
      <c r="Z907" s="239"/>
      <c r="AA907" s="239"/>
      <c r="AB907" s="239"/>
      <c r="AC907" s="239"/>
      <c r="AD907" s="239"/>
      <c r="AE907" s="239"/>
      <c r="AF907" s="239"/>
      <c r="AG907" s="239"/>
      <c r="AH907" s="239"/>
      <c r="AI907" s="239"/>
      <c r="AJ907" s="239"/>
      <c r="AK907" s="239"/>
      <c r="AL907" s="239"/>
      <c r="AM907" s="4"/>
      <c r="AN907" s="4"/>
    </row>
    <row r="908" ht="15.75" customHeight="1">
      <c r="A908" s="4"/>
      <c r="B908" s="4"/>
      <c r="C908" s="12"/>
      <c r="D908" s="4"/>
      <c r="E908" s="4"/>
      <c r="F908" s="4"/>
      <c r="G908" s="4"/>
      <c r="H908" s="4"/>
      <c r="I908" s="237"/>
      <c r="J908" s="238"/>
      <c r="K908" s="238"/>
      <c r="L908" s="239"/>
      <c r="M908" s="239"/>
      <c r="N908" s="239"/>
      <c r="O908" s="240"/>
      <c r="P908" s="238"/>
      <c r="Q908" s="241"/>
      <c r="R908" s="239"/>
      <c r="S908" s="239"/>
      <c r="T908" s="239"/>
      <c r="U908" s="240"/>
      <c r="V908" s="238"/>
      <c r="W908" s="242"/>
      <c r="X908" s="239"/>
      <c r="Y908" s="239"/>
      <c r="Z908" s="239"/>
      <c r="AA908" s="239"/>
      <c r="AB908" s="239"/>
      <c r="AC908" s="239"/>
      <c r="AD908" s="239"/>
      <c r="AE908" s="239"/>
      <c r="AF908" s="239"/>
      <c r="AG908" s="239"/>
      <c r="AH908" s="239"/>
      <c r="AI908" s="239"/>
      <c r="AJ908" s="239"/>
      <c r="AK908" s="239"/>
      <c r="AL908" s="239"/>
      <c r="AM908" s="4"/>
      <c r="AN908" s="4"/>
    </row>
    <row r="909" ht="15.75" customHeight="1">
      <c r="A909" s="4"/>
      <c r="B909" s="4"/>
      <c r="C909" s="12"/>
      <c r="D909" s="4"/>
      <c r="E909" s="4"/>
      <c r="F909" s="4"/>
      <c r="G909" s="4"/>
      <c r="H909" s="4"/>
      <c r="I909" s="237"/>
      <c r="J909" s="238"/>
      <c r="K909" s="238"/>
      <c r="L909" s="239"/>
      <c r="M909" s="239"/>
      <c r="N909" s="239"/>
      <c r="O909" s="240"/>
      <c r="P909" s="238"/>
      <c r="Q909" s="241"/>
      <c r="R909" s="239"/>
      <c r="S909" s="239"/>
      <c r="T909" s="239"/>
      <c r="U909" s="240"/>
      <c r="V909" s="238"/>
      <c r="W909" s="242"/>
      <c r="X909" s="239"/>
      <c r="Y909" s="239"/>
      <c r="Z909" s="239"/>
      <c r="AA909" s="239"/>
      <c r="AB909" s="239"/>
      <c r="AC909" s="239"/>
      <c r="AD909" s="239"/>
      <c r="AE909" s="239"/>
      <c r="AF909" s="239"/>
      <c r="AG909" s="239"/>
      <c r="AH909" s="239"/>
      <c r="AI909" s="239"/>
      <c r="AJ909" s="239"/>
      <c r="AK909" s="239"/>
      <c r="AL909" s="239"/>
      <c r="AM909" s="4"/>
      <c r="AN909" s="4"/>
    </row>
    <row r="910" ht="15.75" customHeight="1">
      <c r="A910" s="4"/>
      <c r="B910" s="4"/>
      <c r="C910" s="12"/>
      <c r="D910" s="4"/>
      <c r="E910" s="4"/>
      <c r="F910" s="4"/>
      <c r="G910" s="4"/>
      <c r="H910" s="4"/>
      <c r="I910" s="237"/>
      <c r="J910" s="238"/>
      <c r="K910" s="238"/>
      <c r="L910" s="239"/>
      <c r="M910" s="239"/>
      <c r="N910" s="239"/>
      <c r="O910" s="240"/>
      <c r="P910" s="238"/>
      <c r="Q910" s="241"/>
      <c r="R910" s="239"/>
      <c r="S910" s="239"/>
      <c r="T910" s="239"/>
      <c r="U910" s="240"/>
      <c r="V910" s="238"/>
      <c r="W910" s="242"/>
      <c r="X910" s="239"/>
      <c r="Y910" s="239"/>
      <c r="Z910" s="239"/>
      <c r="AA910" s="239"/>
      <c r="AB910" s="239"/>
      <c r="AC910" s="239"/>
      <c r="AD910" s="239"/>
      <c r="AE910" s="239"/>
      <c r="AF910" s="239"/>
      <c r="AG910" s="239"/>
      <c r="AH910" s="239"/>
      <c r="AI910" s="239"/>
      <c r="AJ910" s="239"/>
      <c r="AK910" s="239"/>
      <c r="AL910" s="239"/>
      <c r="AM910" s="4"/>
      <c r="AN910" s="4"/>
    </row>
    <row r="911" ht="15.75" customHeight="1">
      <c r="A911" s="4"/>
      <c r="B911" s="4"/>
      <c r="C911" s="12"/>
      <c r="D911" s="4"/>
      <c r="E911" s="4"/>
      <c r="F911" s="4"/>
      <c r="G911" s="4"/>
      <c r="H911" s="4"/>
      <c r="I911" s="237"/>
      <c r="J911" s="238"/>
      <c r="K911" s="238"/>
      <c r="L911" s="239"/>
      <c r="M911" s="239"/>
      <c r="N911" s="239"/>
      <c r="O911" s="240"/>
      <c r="P911" s="238"/>
      <c r="Q911" s="241"/>
      <c r="R911" s="239"/>
      <c r="S911" s="239"/>
      <c r="T911" s="239"/>
      <c r="U911" s="240"/>
      <c r="V911" s="238"/>
      <c r="W911" s="242"/>
      <c r="X911" s="239"/>
      <c r="Y911" s="239"/>
      <c r="Z911" s="239"/>
      <c r="AA911" s="239"/>
      <c r="AB911" s="239"/>
      <c r="AC911" s="239"/>
      <c r="AD911" s="239"/>
      <c r="AE911" s="239"/>
      <c r="AF911" s="239"/>
      <c r="AG911" s="239"/>
      <c r="AH911" s="239"/>
      <c r="AI911" s="239"/>
      <c r="AJ911" s="239"/>
      <c r="AK911" s="239"/>
      <c r="AL911" s="239"/>
      <c r="AM911" s="4"/>
      <c r="AN911" s="4"/>
    </row>
    <row r="912" ht="15.75" customHeight="1">
      <c r="A912" s="4"/>
      <c r="B912" s="4"/>
      <c r="C912" s="12"/>
      <c r="D912" s="4"/>
      <c r="E912" s="4"/>
      <c r="F912" s="4"/>
      <c r="G912" s="4"/>
      <c r="H912" s="4"/>
      <c r="I912" s="237"/>
      <c r="J912" s="238"/>
      <c r="K912" s="238"/>
      <c r="L912" s="239"/>
      <c r="M912" s="239"/>
      <c r="N912" s="239"/>
      <c r="O912" s="240"/>
      <c r="P912" s="238"/>
      <c r="Q912" s="241"/>
      <c r="R912" s="239"/>
      <c r="S912" s="239"/>
      <c r="T912" s="239"/>
      <c r="U912" s="240"/>
      <c r="V912" s="238"/>
      <c r="W912" s="242"/>
      <c r="X912" s="239"/>
      <c r="Y912" s="239"/>
      <c r="Z912" s="239"/>
      <c r="AA912" s="239"/>
      <c r="AB912" s="239"/>
      <c r="AC912" s="239"/>
      <c r="AD912" s="239"/>
      <c r="AE912" s="239"/>
      <c r="AF912" s="239"/>
      <c r="AG912" s="239"/>
      <c r="AH912" s="239"/>
      <c r="AI912" s="239"/>
      <c r="AJ912" s="239"/>
      <c r="AK912" s="239"/>
      <c r="AL912" s="239"/>
      <c r="AM912" s="4"/>
      <c r="AN912" s="4"/>
    </row>
    <row r="913" ht="15.75" customHeight="1">
      <c r="A913" s="4"/>
      <c r="B913" s="4"/>
      <c r="C913" s="12"/>
      <c r="D913" s="4"/>
      <c r="E913" s="4"/>
      <c r="F913" s="4"/>
      <c r="G913" s="4"/>
      <c r="H913" s="4"/>
      <c r="I913" s="237"/>
      <c r="J913" s="238"/>
      <c r="K913" s="238"/>
      <c r="L913" s="239"/>
      <c r="M913" s="239"/>
      <c r="N913" s="239"/>
      <c r="O913" s="240"/>
      <c r="P913" s="238"/>
      <c r="Q913" s="241"/>
      <c r="R913" s="239"/>
      <c r="S913" s="239"/>
      <c r="T913" s="239"/>
      <c r="U913" s="240"/>
      <c r="V913" s="238"/>
      <c r="W913" s="242"/>
      <c r="X913" s="239"/>
      <c r="Y913" s="239"/>
      <c r="Z913" s="239"/>
      <c r="AA913" s="239"/>
      <c r="AB913" s="239"/>
      <c r="AC913" s="239"/>
      <c r="AD913" s="239"/>
      <c r="AE913" s="239"/>
      <c r="AF913" s="239"/>
      <c r="AG913" s="239"/>
      <c r="AH913" s="239"/>
      <c r="AI913" s="239"/>
      <c r="AJ913" s="239"/>
      <c r="AK913" s="239"/>
      <c r="AL913" s="239"/>
      <c r="AM913" s="4"/>
      <c r="AN913" s="4"/>
    </row>
    <row r="914" ht="15.75" customHeight="1">
      <c r="A914" s="4"/>
      <c r="B914" s="4"/>
      <c r="C914" s="12"/>
      <c r="D914" s="4"/>
      <c r="E914" s="4"/>
      <c r="F914" s="4"/>
      <c r="G914" s="4"/>
      <c r="H914" s="4"/>
      <c r="I914" s="237"/>
      <c r="J914" s="238"/>
      <c r="K914" s="238"/>
      <c r="L914" s="239"/>
      <c r="M914" s="239"/>
      <c r="N914" s="239"/>
      <c r="O914" s="240"/>
      <c r="P914" s="238"/>
      <c r="Q914" s="241"/>
      <c r="R914" s="239"/>
      <c r="S914" s="239"/>
      <c r="T914" s="239"/>
      <c r="U914" s="240"/>
      <c r="V914" s="238"/>
      <c r="W914" s="242"/>
      <c r="X914" s="239"/>
      <c r="Y914" s="239"/>
      <c r="Z914" s="239"/>
      <c r="AA914" s="239"/>
      <c r="AB914" s="239"/>
      <c r="AC914" s="239"/>
      <c r="AD914" s="239"/>
      <c r="AE914" s="239"/>
      <c r="AF914" s="239"/>
      <c r="AG914" s="239"/>
      <c r="AH914" s="239"/>
      <c r="AI914" s="239"/>
      <c r="AJ914" s="239"/>
      <c r="AK914" s="239"/>
      <c r="AL914" s="239"/>
      <c r="AM914" s="4"/>
      <c r="AN914" s="4"/>
    </row>
    <row r="915" ht="15.75" customHeight="1">
      <c r="A915" s="4"/>
      <c r="B915" s="4"/>
      <c r="C915" s="12"/>
      <c r="D915" s="4"/>
      <c r="E915" s="4"/>
      <c r="F915" s="4"/>
      <c r="G915" s="4"/>
      <c r="H915" s="4"/>
      <c r="I915" s="237"/>
      <c r="J915" s="238"/>
      <c r="K915" s="238"/>
      <c r="L915" s="239"/>
      <c r="M915" s="239"/>
      <c r="N915" s="239"/>
      <c r="O915" s="240"/>
      <c r="P915" s="238"/>
      <c r="Q915" s="241"/>
      <c r="R915" s="239"/>
      <c r="S915" s="239"/>
      <c r="T915" s="239"/>
      <c r="U915" s="240"/>
      <c r="V915" s="238"/>
      <c r="W915" s="242"/>
      <c r="X915" s="239"/>
      <c r="Y915" s="239"/>
      <c r="Z915" s="239"/>
      <c r="AA915" s="239"/>
      <c r="AB915" s="239"/>
      <c r="AC915" s="239"/>
      <c r="AD915" s="239"/>
      <c r="AE915" s="239"/>
      <c r="AF915" s="239"/>
      <c r="AG915" s="239"/>
      <c r="AH915" s="239"/>
      <c r="AI915" s="239"/>
      <c r="AJ915" s="239"/>
      <c r="AK915" s="239"/>
      <c r="AL915" s="239"/>
      <c r="AM915" s="4"/>
      <c r="AN915" s="4"/>
    </row>
    <row r="916" ht="15.75" customHeight="1">
      <c r="A916" s="4"/>
      <c r="B916" s="4"/>
      <c r="C916" s="12"/>
      <c r="D916" s="4"/>
      <c r="E916" s="4"/>
      <c r="F916" s="4"/>
      <c r="G916" s="4"/>
      <c r="H916" s="4"/>
      <c r="I916" s="237"/>
      <c r="J916" s="238"/>
      <c r="K916" s="238"/>
      <c r="L916" s="239"/>
      <c r="M916" s="239"/>
      <c r="N916" s="239"/>
      <c r="O916" s="240"/>
      <c r="P916" s="238"/>
      <c r="Q916" s="241"/>
      <c r="R916" s="239"/>
      <c r="S916" s="239"/>
      <c r="T916" s="239"/>
      <c r="U916" s="240"/>
      <c r="V916" s="238"/>
      <c r="W916" s="242"/>
      <c r="X916" s="239"/>
      <c r="Y916" s="239"/>
      <c r="Z916" s="239"/>
      <c r="AA916" s="239"/>
      <c r="AB916" s="239"/>
      <c r="AC916" s="239"/>
      <c r="AD916" s="239"/>
      <c r="AE916" s="239"/>
      <c r="AF916" s="239"/>
      <c r="AG916" s="239"/>
      <c r="AH916" s="239"/>
      <c r="AI916" s="239"/>
      <c r="AJ916" s="239"/>
      <c r="AK916" s="239"/>
      <c r="AL916" s="239"/>
      <c r="AM916" s="4"/>
      <c r="AN916" s="4"/>
    </row>
    <row r="917" ht="15.75" customHeight="1">
      <c r="A917" s="4"/>
      <c r="B917" s="4"/>
      <c r="C917" s="12"/>
      <c r="D917" s="4"/>
      <c r="E917" s="4"/>
      <c r="F917" s="4"/>
      <c r="G917" s="4"/>
      <c r="H917" s="4"/>
      <c r="I917" s="237"/>
      <c r="J917" s="238"/>
      <c r="K917" s="238"/>
      <c r="L917" s="239"/>
      <c r="M917" s="239"/>
      <c r="N917" s="239"/>
      <c r="O917" s="240"/>
      <c r="P917" s="238"/>
      <c r="Q917" s="241"/>
      <c r="R917" s="239"/>
      <c r="S917" s="239"/>
      <c r="T917" s="239"/>
      <c r="U917" s="240"/>
      <c r="V917" s="238"/>
      <c r="W917" s="242"/>
      <c r="X917" s="239"/>
      <c r="Y917" s="239"/>
      <c r="Z917" s="239"/>
      <c r="AA917" s="239"/>
      <c r="AB917" s="239"/>
      <c r="AC917" s="239"/>
      <c r="AD917" s="239"/>
      <c r="AE917" s="239"/>
      <c r="AF917" s="239"/>
      <c r="AG917" s="239"/>
      <c r="AH917" s="239"/>
      <c r="AI917" s="239"/>
      <c r="AJ917" s="239"/>
      <c r="AK917" s="239"/>
      <c r="AL917" s="239"/>
      <c r="AM917" s="4"/>
      <c r="AN917" s="4"/>
    </row>
    <row r="918" ht="15.75" customHeight="1">
      <c r="A918" s="4"/>
      <c r="B918" s="4"/>
      <c r="C918" s="12"/>
      <c r="D918" s="4"/>
      <c r="E918" s="4"/>
      <c r="F918" s="4"/>
      <c r="G918" s="4"/>
      <c r="H918" s="4"/>
      <c r="I918" s="237"/>
      <c r="J918" s="238"/>
      <c r="K918" s="238"/>
      <c r="L918" s="239"/>
      <c r="M918" s="239"/>
      <c r="N918" s="239"/>
      <c r="O918" s="240"/>
      <c r="P918" s="238"/>
      <c r="Q918" s="241"/>
      <c r="R918" s="239"/>
      <c r="S918" s="239"/>
      <c r="T918" s="239"/>
      <c r="U918" s="240"/>
      <c r="V918" s="238"/>
      <c r="W918" s="242"/>
      <c r="X918" s="239"/>
      <c r="Y918" s="239"/>
      <c r="Z918" s="239"/>
      <c r="AA918" s="239"/>
      <c r="AB918" s="239"/>
      <c r="AC918" s="239"/>
      <c r="AD918" s="239"/>
      <c r="AE918" s="239"/>
      <c r="AF918" s="239"/>
      <c r="AG918" s="239"/>
      <c r="AH918" s="239"/>
      <c r="AI918" s="239"/>
      <c r="AJ918" s="239"/>
      <c r="AK918" s="239"/>
      <c r="AL918" s="239"/>
      <c r="AM918" s="4"/>
      <c r="AN918" s="4"/>
    </row>
    <row r="919" ht="15.75" customHeight="1">
      <c r="A919" s="4"/>
      <c r="B919" s="4"/>
      <c r="C919" s="12"/>
      <c r="D919" s="4"/>
      <c r="E919" s="4"/>
      <c r="F919" s="4"/>
      <c r="G919" s="4"/>
      <c r="H919" s="4"/>
      <c r="I919" s="237"/>
      <c r="J919" s="238"/>
      <c r="K919" s="238"/>
      <c r="L919" s="239"/>
      <c r="M919" s="239"/>
      <c r="N919" s="239"/>
      <c r="O919" s="240"/>
      <c r="P919" s="238"/>
      <c r="Q919" s="241"/>
      <c r="R919" s="239"/>
      <c r="S919" s="239"/>
      <c r="T919" s="239"/>
      <c r="U919" s="240"/>
      <c r="V919" s="238"/>
      <c r="W919" s="242"/>
      <c r="X919" s="239"/>
      <c r="Y919" s="239"/>
      <c r="Z919" s="239"/>
      <c r="AA919" s="239"/>
      <c r="AB919" s="239"/>
      <c r="AC919" s="239"/>
      <c r="AD919" s="239"/>
      <c r="AE919" s="239"/>
      <c r="AF919" s="239"/>
      <c r="AG919" s="239"/>
      <c r="AH919" s="239"/>
      <c r="AI919" s="239"/>
      <c r="AJ919" s="239"/>
      <c r="AK919" s="239"/>
      <c r="AL919" s="239"/>
      <c r="AM919" s="4"/>
      <c r="AN919" s="4"/>
    </row>
    <row r="920" ht="15.75" customHeight="1">
      <c r="A920" s="4"/>
      <c r="B920" s="4"/>
      <c r="C920" s="12"/>
      <c r="D920" s="4"/>
      <c r="E920" s="4"/>
      <c r="F920" s="4"/>
      <c r="G920" s="4"/>
      <c r="H920" s="4"/>
      <c r="I920" s="237"/>
      <c r="J920" s="238"/>
      <c r="K920" s="238"/>
      <c r="L920" s="239"/>
      <c r="M920" s="239"/>
      <c r="N920" s="239"/>
      <c r="O920" s="240"/>
      <c r="P920" s="238"/>
      <c r="Q920" s="241"/>
      <c r="R920" s="239"/>
      <c r="S920" s="239"/>
      <c r="T920" s="239"/>
      <c r="U920" s="240"/>
      <c r="V920" s="238"/>
      <c r="W920" s="242"/>
      <c r="X920" s="239"/>
      <c r="Y920" s="239"/>
      <c r="Z920" s="239"/>
      <c r="AA920" s="239"/>
      <c r="AB920" s="239"/>
      <c r="AC920" s="239"/>
      <c r="AD920" s="239"/>
      <c r="AE920" s="239"/>
      <c r="AF920" s="239"/>
      <c r="AG920" s="239"/>
      <c r="AH920" s="239"/>
      <c r="AI920" s="239"/>
      <c r="AJ920" s="239"/>
      <c r="AK920" s="239"/>
      <c r="AL920" s="239"/>
      <c r="AM920" s="4"/>
      <c r="AN920" s="4"/>
    </row>
    <row r="921" ht="15.75" customHeight="1">
      <c r="A921" s="4"/>
      <c r="B921" s="4"/>
      <c r="C921" s="12"/>
      <c r="D921" s="4"/>
      <c r="E921" s="4"/>
      <c r="F921" s="4"/>
      <c r="G921" s="4"/>
      <c r="H921" s="4"/>
      <c r="I921" s="237"/>
      <c r="J921" s="238"/>
      <c r="K921" s="238"/>
      <c r="L921" s="239"/>
      <c r="M921" s="239"/>
      <c r="N921" s="239"/>
      <c r="O921" s="240"/>
      <c r="P921" s="238"/>
      <c r="Q921" s="241"/>
      <c r="R921" s="239"/>
      <c r="S921" s="239"/>
      <c r="T921" s="239"/>
      <c r="U921" s="240"/>
      <c r="V921" s="238"/>
      <c r="W921" s="242"/>
      <c r="X921" s="239"/>
      <c r="Y921" s="239"/>
      <c r="Z921" s="239"/>
      <c r="AA921" s="239"/>
      <c r="AB921" s="239"/>
      <c r="AC921" s="239"/>
      <c r="AD921" s="239"/>
      <c r="AE921" s="239"/>
      <c r="AF921" s="239"/>
      <c r="AG921" s="239"/>
      <c r="AH921" s="239"/>
      <c r="AI921" s="239"/>
      <c r="AJ921" s="239"/>
      <c r="AK921" s="239"/>
      <c r="AL921" s="239"/>
      <c r="AM921" s="4"/>
      <c r="AN921" s="4"/>
    </row>
    <row r="922" ht="15.75" customHeight="1">
      <c r="A922" s="4"/>
      <c r="B922" s="4"/>
      <c r="C922" s="12"/>
      <c r="D922" s="4"/>
      <c r="E922" s="4"/>
      <c r="F922" s="4"/>
      <c r="G922" s="4"/>
      <c r="H922" s="4"/>
      <c r="I922" s="237"/>
      <c r="J922" s="238"/>
      <c r="K922" s="238"/>
      <c r="L922" s="239"/>
      <c r="M922" s="239"/>
      <c r="N922" s="239"/>
      <c r="O922" s="240"/>
      <c r="P922" s="238"/>
      <c r="Q922" s="241"/>
      <c r="R922" s="239"/>
      <c r="S922" s="239"/>
      <c r="T922" s="239"/>
      <c r="U922" s="240"/>
      <c r="V922" s="238"/>
      <c r="W922" s="242"/>
      <c r="X922" s="239"/>
      <c r="Y922" s="239"/>
      <c r="Z922" s="239"/>
      <c r="AA922" s="239"/>
      <c r="AB922" s="239"/>
      <c r="AC922" s="239"/>
      <c r="AD922" s="239"/>
      <c r="AE922" s="239"/>
      <c r="AF922" s="239"/>
      <c r="AG922" s="239"/>
      <c r="AH922" s="239"/>
      <c r="AI922" s="239"/>
      <c r="AJ922" s="239"/>
      <c r="AK922" s="239"/>
      <c r="AL922" s="239"/>
      <c r="AM922" s="4"/>
      <c r="AN922" s="4"/>
    </row>
    <row r="923" ht="15.75" customHeight="1">
      <c r="A923" s="4"/>
      <c r="B923" s="4"/>
      <c r="C923" s="12"/>
      <c r="D923" s="4"/>
      <c r="E923" s="4"/>
      <c r="F923" s="4"/>
      <c r="G923" s="4"/>
      <c r="H923" s="4"/>
      <c r="I923" s="237"/>
      <c r="J923" s="238"/>
      <c r="K923" s="238"/>
      <c r="L923" s="239"/>
      <c r="M923" s="239"/>
      <c r="N923" s="239"/>
      <c r="O923" s="240"/>
      <c r="P923" s="238"/>
      <c r="Q923" s="241"/>
      <c r="R923" s="239"/>
      <c r="S923" s="239"/>
      <c r="T923" s="239"/>
      <c r="U923" s="240"/>
      <c r="V923" s="238"/>
      <c r="W923" s="242"/>
      <c r="X923" s="239"/>
      <c r="Y923" s="239"/>
      <c r="Z923" s="239"/>
      <c r="AA923" s="239"/>
      <c r="AB923" s="239"/>
      <c r="AC923" s="239"/>
      <c r="AD923" s="239"/>
      <c r="AE923" s="239"/>
      <c r="AF923" s="239"/>
      <c r="AG923" s="239"/>
      <c r="AH923" s="239"/>
      <c r="AI923" s="239"/>
      <c r="AJ923" s="239"/>
      <c r="AK923" s="239"/>
      <c r="AL923" s="239"/>
      <c r="AM923" s="4"/>
      <c r="AN923" s="4"/>
    </row>
    <row r="924" ht="15.75" customHeight="1">
      <c r="A924" s="4"/>
      <c r="B924" s="4"/>
      <c r="C924" s="12"/>
      <c r="D924" s="4"/>
      <c r="E924" s="4"/>
      <c r="F924" s="4"/>
      <c r="G924" s="4"/>
      <c r="H924" s="4"/>
      <c r="I924" s="237"/>
      <c r="J924" s="238"/>
      <c r="K924" s="238"/>
      <c r="L924" s="239"/>
      <c r="M924" s="239"/>
      <c r="N924" s="239"/>
      <c r="O924" s="240"/>
      <c r="P924" s="238"/>
      <c r="Q924" s="241"/>
      <c r="R924" s="239"/>
      <c r="S924" s="239"/>
      <c r="T924" s="239"/>
      <c r="U924" s="240"/>
      <c r="V924" s="238"/>
      <c r="W924" s="242"/>
      <c r="X924" s="239"/>
      <c r="Y924" s="239"/>
      <c r="Z924" s="239"/>
      <c r="AA924" s="239"/>
      <c r="AB924" s="239"/>
      <c r="AC924" s="239"/>
      <c r="AD924" s="239"/>
      <c r="AE924" s="239"/>
      <c r="AF924" s="239"/>
      <c r="AG924" s="239"/>
      <c r="AH924" s="239"/>
      <c r="AI924" s="239"/>
      <c r="AJ924" s="239"/>
      <c r="AK924" s="239"/>
      <c r="AL924" s="239"/>
      <c r="AM924" s="4"/>
      <c r="AN924" s="4"/>
    </row>
    <row r="925" ht="15.75" customHeight="1">
      <c r="A925" s="4"/>
      <c r="B925" s="4"/>
      <c r="C925" s="12"/>
      <c r="D925" s="4"/>
      <c r="E925" s="4"/>
      <c r="F925" s="4"/>
      <c r="G925" s="4"/>
      <c r="H925" s="4"/>
      <c r="I925" s="237"/>
      <c r="J925" s="238"/>
      <c r="K925" s="238"/>
      <c r="L925" s="239"/>
      <c r="M925" s="239"/>
      <c r="N925" s="239"/>
      <c r="O925" s="240"/>
      <c r="P925" s="238"/>
      <c r="Q925" s="241"/>
      <c r="R925" s="239"/>
      <c r="S925" s="239"/>
      <c r="T925" s="239"/>
      <c r="U925" s="240"/>
      <c r="V925" s="238"/>
      <c r="W925" s="242"/>
      <c r="X925" s="239"/>
      <c r="Y925" s="239"/>
      <c r="Z925" s="239"/>
      <c r="AA925" s="239"/>
      <c r="AB925" s="239"/>
      <c r="AC925" s="239"/>
      <c r="AD925" s="239"/>
      <c r="AE925" s="239"/>
      <c r="AF925" s="239"/>
      <c r="AG925" s="239"/>
      <c r="AH925" s="239"/>
      <c r="AI925" s="239"/>
      <c r="AJ925" s="239"/>
      <c r="AK925" s="239"/>
      <c r="AL925" s="239"/>
      <c r="AM925" s="4"/>
      <c r="AN925" s="4"/>
    </row>
    <row r="926" ht="15.75" customHeight="1">
      <c r="A926" s="4"/>
      <c r="B926" s="4"/>
      <c r="C926" s="12"/>
      <c r="D926" s="4"/>
      <c r="E926" s="4"/>
      <c r="F926" s="4"/>
      <c r="G926" s="4"/>
      <c r="H926" s="4"/>
      <c r="I926" s="237"/>
      <c r="J926" s="238"/>
      <c r="K926" s="238"/>
      <c r="L926" s="239"/>
      <c r="M926" s="239"/>
      <c r="N926" s="239"/>
      <c r="O926" s="240"/>
      <c r="P926" s="238"/>
      <c r="Q926" s="241"/>
      <c r="R926" s="239"/>
      <c r="S926" s="239"/>
      <c r="T926" s="239"/>
      <c r="U926" s="240"/>
      <c r="V926" s="238"/>
      <c r="W926" s="242"/>
      <c r="X926" s="239"/>
      <c r="Y926" s="239"/>
      <c r="Z926" s="239"/>
      <c r="AA926" s="239"/>
      <c r="AB926" s="239"/>
      <c r="AC926" s="239"/>
      <c r="AD926" s="239"/>
      <c r="AE926" s="239"/>
      <c r="AF926" s="239"/>
      <c r="AG926" s="239"/>
      <c r="AH926" s="239"/>
      <c r="AI926" s="239"/>
      <c r="AJ926" s="239"/>
      <c r="AK926" s="239"/>
      <c r="AL926" s="239"/>
      <c r="AM926" s="4"/>
      <c r="AN926" s="4"/>
    </row>
    <row r="927" ht="15.75" customHeight="1">
      <c r="A927" s="4"/>
      <c r="B927" s="4"/>
      <c r="C927" s="12"/>
      <c r="D927" s="4"/>
      <c r="E927" s="4"/>
      <c r="F927" s="4"/>
      <c r="G927" s="4"/>
      <c r="H927" s="4"/>
      <c r="I927" s="237"/>
      <c r="J927" s="238"/>
      <c r="K927" s="238"/>
      <c r="L927" s="239"/>
      <c r="M927" s="239"/>
      <c r="N927" s="239"/>
      <c r="O927" s="240"/>
      <c r="P927" s="238"/>
      <c r="Q927" s="241"/>
      <c r="R927" s="239"/>
      <c r="S927" s="239"/>
      <c r="T927" s="239"/>
      <c r="U927" s="240"/>
      <c r="V927" s="238"/>
      <c r="W927" s="242"/>
      <c r="X927" s="239"/>
      <c r="Y927" s="239"/>
      <c r="Z927" s="239"/>
      <c r="AA927" s="239"/>
      <c r="AB927" s="239"/>
      <c r="AC927" s="239"/>
      <c r="AD927" s="239"/>
      <c r="AE927" s="239"/>
      <c r="AF927" s="239"/>
      <c r="AG927" s="239"/>
      <c r="AH927" s="239"/>
      <c r="AI927" s="239"/>
      <c r="AJ927" s="239"/>
      <c r="AK927" s="239"/>
      <c r="AL927" s="239"/>
      <c r="AM927" s="4"/>
      <c r="AN927" s="4"/>
    </row>
    <row r="928" ht="15.75" customHeight="1">
      <c r="A928" s="4"/>
      <c r="B928" s="4"/>
      <c r="C928" s="12"/>
      <c r="D928" s="4"/>
      <c r="E928" s="4"/>
      <c r="F928" s="4"/>
      <c r="G928" s="4"/>
      <c r="H928" s="4"/>
      <c r="I928" s="237"/>
      <c r="J928" s="238"/>
      <c r="K928" s="238"/>
      <c r="L928" s="239"/>
      <c r="M928" s="239"/>
      <c r="N928" s="239"/>
      <c r="O928" s="240"/>
      <c r="P928" s="238"/>
      <c r="Q928" s="241"/>
      <c r="R928" s="239"/>
      <c r="S928" s="239"/>
      <c r="T928" s="239"/>
      <c r="U928" s="240"/>
      <c r="V928" s="238"/>
      <c r="W928" s="242"/>
      <c r="X928" s="239"/>
      <c r="Y928" s="239"/>
      <c r="Z928" s="239"/>
      <c r="AA928" s="239"/>
      <c r="AB928" s="239"/>
      <c r="AC928" s="239"/>
      <c r="AD928" s="239"/>
      <c r="AE928" s="239"/>
      <c r="AF928" s="239"/>
      <c r="AG928" s="239"/>
      <c r="AH928" s="239"/>
      <c r="AI928" s="239"/>
      <c r="AJ928" s="239"/>
      <c r="AK928" s="239"/>
      <c r="AL928" s="239"/>
      <c r="AM928" s="4"/>
      <c r="AN928" s="4"/>
    </row>
    <row r="929" ht="15.75" customHeight="1">
      <c r="A929" s="4"/>
      <c r="B929" s="4"/>
      <c r="C929" s="12"/>
      <c r="D929" s="4"/>
      <c r="E929" s="4"/>
      <c r="F929" s="4"/>
      <c r="G929" s="4"/>
      <c r="H929" s="4"/>
      <c r="I929" s="237"/>
      <c r="J929" s="238"/>
      <c r="K929" s="238"/>
      <c r="L929" s="239"/>
      <c r="M929" s="239"/>
      <c r="N929" s="239"/>
      <c r="O929" s="240"/>
      <c r="P929" s="238"/>
      <c r="Q929" s="241"/>
      <c r="R929" s="239"/>
      <c r="S929" s="239"/>
      <c r="T929" s="239"/>
      <c r="U929" s="240"/>
      <c r="V929" s="238"/>
      <c r="W929" s="242"/>
      <c r="X929" s="239"/>
      <c r="Y929" s="239"/>
      <c r="Z929" s="239"/>
      <c r="AA929" s="239"/>
      <c r="AB929" s="239"/>
      <c r="AC929" s="239"/>
      <c r="AD929" s="239"/>
      <c r="AE929" s="239"/>
      <c r="AF929" s="239"/>
      <c r="AG929" s="239"/>
      <c r="AH929" s="239"/>
      <c r="AI929" s="239"/>
      <c r="AJ929" s="239"/>
      <c r="AK929" s="239"/>
      <c r="AL929" s="239"/>
      <c r="AM929" s="4"/>
      <c r="AN929" s="4"/>
    </row>
    <row r="930" ht="15.75" customHeight="1">
      <c r="A930" s="4"/>
      <c r="B930" s="4"/>
      <c r="C930" s="12"/>
      <c r="D930" s="4"/>
      <c r="E930" s="4"/>
      <c r="F930" s="4"/>
      <c r="G930" s="4"/>
      <c r="H930" s="4"/>
      <c r="I930" s="237"/>
      <c r="J930" s="238"/>
      <c r="K930" s="238"/>
      <c r="L930" s="239"/>
      <c r="M930" s="239"/>
      <c r="N930" s="239"/>
      <c r="O930" s="240"/>
      <c r="P930" s="238"/>
      <c r="Q930" s="241"/>
      <c r="R930" s="239"/>
      <c r="S930" s="239"/>
      <c r="T930" s="239"/>
      <c r="U930" s="240"/>
      <c r="V930" s="238"/>
      <c r="W930" s="242"/>
      <c r="X930" s="239"/>
      <c r="Y930" s="239"/>
      <c r="Z930" s="239"/>
      <c r="AA930" s="239"/>
      <c r="AB930" s="239"/>
      <c r="AC930" s="239"/>
      <c r="AD930" s="239"/>
      <c r="AE930" s="239"/>
      <c r="AF930" s="239"/>
      <c r="AG930" s="239"/>
      <c r="AH930" s="239"/>
      <c r="AI930" s="239"/>
      <c r="AJ930" s="239"/>
      <c r="AK930" s="239"/>
      <c r="AL930" s="239"/>
      <c r="AM930" s="4"/>
      <c r="AN930" s="4"/>
    </row>
    <row r="931" ht="15.75" customHeight="1">
      <c r="A931" s="4"/>
      <c r="B931" s="4"/>
      <c r="C931" s="12"/>
      <c r="D931" s="4"/>
      <c r="E931" s="4"/>
      <c r="F931" s="4"/>
      <c r="G931" s="4"/>
      <c r="H931" s="4"/>
      <c r="I931" s="237"/>
      <c r="J931" s="238"/>
      <c r="K931" s="238"/>
      <c r="L931" s="239"/>
      <c r="M931" s="239"/>
      <c r="N931" s="239"/>
      <c r="O931" s="240"/>
      <c r="P931" s="238"/>
      <c r="Q931" s="241"/>
      <c r="R931" s="239"/>
      <c r="S931" s="239"/>
      <c r="T931" s="239"/>
      <c r="U931" s="240"/>
      <c r="V931" s="238"/>
      <c r="W931" s="242"/>
      <c r="X931" s="239"/>
      <c r="Y931" s="239"/>
      <c r="Z931" s="239"/>
      <c r="AA931" s="239"/>
      <c r="AB931" s="239"/>
      <c r="AC931" s="239"/>
      <c r="AD931" s="239"/>
      <c r="AE931" s="239"/>
      <c r="AF931" s="239"/>
      <c r="AG931" s="239"/>
      <c r="AH931" s="239"/>
      <c r="AI931" s="239"/>
      <c r="AJ931" s="239"/>
      <c r="AK931" s="239"/>
      <c r="AL931" s="239"/>
      <c r="AM931" s="4"/>
      <c r="AN931" s="4"/>
    </row>
    <row r="932" ht="15.75" customHeight="1">
      <c r="A932" s="4"/>
      <c r="B932" s="4"/>
      <c r="C932" s="12"/>
      <c r="D932" s="4"/>
      <c r="E932" s="4"/>
      <c r="F932" s="4"/>
      <c r="G932" s="4"/>
      <c r="H932" s="4"/>
      <c r="I932" s="237"/>
      <c r="J932" s="238"/>
      <c r="K932" s="238"/>
      <c r="L932" s="239"/>
      <c r="M932" s="239"/>
      <c r="N932" s="239"/>
      <c r="O932" s="240"/>
      <c r="P932" s="238"/>
      <c r="Q932" s="241"/>
      <c r="R932" s="239"/>
      <c r="S932" s="239"/>
      <c r="T932" s="239"/>
      <c r="U932" s="240"/>
      <c r="V932" s="238"/>
      <c r="W932" s="242"/>
      <c r="X932" s="239"/>
      <c r="Y932" s="239"/>
      <c r="Z932" s="239"/>
      <c r="AA932" s="239"/>
      <c r="AB932" s="239"/>
      <c r="AC932" s="239"/>
      <c r="AD932" s="239"/>
      <c r="AE932" s="239"/>
      <c r="AF932" s="239"/>
      <c r="AG932" s="239"/>
      <c r="AH932" s="239"/>
      <c r="AI932" s="239"/>
      <c r="AJ932" s="239"/>
      <c r="AK932" s="239"/>
      <c r="AL932" s="239"/>
      <c r="AM932" s="4"/>
      <c r="AN932" s="4"/>
    </row>
    <row r="933" ht="15.75" customHeight="1">
      <c r="A933" s="4"/>
      <c r="B933" s="4"/>
      <c r="C933" s="12"/>
      <c r="D933" s="4"/>
      <c r="E933" s="4"/>
      <c r="F933" s="4"/>
      <c r="G933" s="4"/>
      <c r="H933" s="4"/>
      <c r="I933" s="237"/>
      <c r="J933" s="238"/>
      <c r="K933" s="238"/>
      <c r="L933" s="239"/>
      <c r="M933" s="239"/>
      <c r="N933" s="239"/>
      <c r="O933" s="240"/>
      <c r="P933" s="238"/>
      <c r="Q933" s="241"/>
      <c r="R933" s="239"/>
      <c r="S933" s="239"/>
      <c r="T933" s="239"/>
      <c r="U933" s="240"/>
      <c r="V933" s="238"/>
      <c r="W933" s="242"/>
      <c r="X933" s="239"/>
      <c r="Y933" s="239"/>
      <c r="Z933" s="239"/>
      <c r="AA933" s="239"/>
      <c r="AB933" s="239"/>
      <c r="AC933" s="239"/>
      <c r="AD933" s="239"/>
      <c r="AE933" s="239"/>
      <c r="AF933" s="239"/>
      <c r="AG933" s="239"/>
      <c r="AH933" s="239"/>
      <c r="AI933" s="239"/>
      <c r="AJ933" s="239"/>
      <c r="AK933" s="239"/>
      <c r="AL933" s="239"/>
      <c r="AM933" s="4"/>
      <c r="AN933" s="4"/>
    </row>
    <row r="934" ht="15.75" customHeight="1">
      <c r="A934" s="4"/>
      <c r="B934" s="4"/>
      <c r="C934" s="12"/>
      <c r="D934" s="4"/>
      <c r="E934" s="4"/>
      <c r="F934" s="4"/>
      <c r="G934" s="4"/>
      <c r="H934" s="4"/>
      <c r="I934" s="237"/>
      <c r="J934" s="238"/>
      <c r="K934" s="238"/>
      <c r="L934" s="239"/>
      <c r="M934" s="239"/>
      <c r="N934" s="239"/>
      <c r="O934" s="240"/>
      <c r="P934" s="238"/>
      <c r="Q934" s="241"/>
      <c r="R934" s="239"/>
      <c r="S934" s="239"/>
      <c r="T934" s="239"/>
      <c r="U934" s="240"/>
      <c r="V934" s="238"/>
      <c r="W934" s="242"/>
      <c r="X934" s="239"/>
      <c r="Y934" s="239"/>
      <c r="Z934" s="239"/>
      <c r="AA934" s="239"/>
      <c r="AB934" s="239"/>
      <c r="AC934" s="239"/>
      <c r="AD934" s="239"/>
      <c r="AE934" s="239"/>
      <c r="AF934" s="239"/>
      <c r="AG934" s="239"/>
      <c r="AH934" s="239"/>
      <c r="AI934" s="239"/>
      <c r="AJ934" s="239"/>
      <c r="AK934" s="239"/>
      <c r="AL934" s="239"/>
      <c r="AM934" s="4"/>
      <c r="AN934" s="4"/>
    </row>
    <row r="935" ht="15.75" customHeight="1">
      <c r="A935" s="4"/>
      <c r="B935" s="4"/>
      <c r="C935" s="12"/>
      <c r="D935" s="4"/>
      <c r="E935" s="4"/>
      <c r="F935" s="4"/>
      <c r="G935" s="4"/>
      <c r="H935" s="4"/>
      <c r="I935" s="237"/>
      <c r="J935" s="238"/>
      <c r="K935" s="238"/>
      <c r="L935" s="239"/>
      <c r="M935" s="239"/>
      <c r="N935" s="239"/>
      <c r="O935" s="240"/>
      <c r="P935" s="238"/>
      <c r="Q935" s="241"/>
      <c r="R935" s="239"/>
      <c r="S935" s="239"/>
      <c r="T935" s="239"/>
      <c r="U935" s="240"/>
      <c r="V935" s="238"/>
      <c r="W935" s="242"/>
      <c r="X935" s="239"/>
      <c r="Y935" s="239"/>
      <c r="Z935" s="239"/>
      <c r="AA935" s="239"/>
      <c r="AB935" s="239"/>
      <c r="AC935" s="239"/>
      <c r="AD935" s="239"/>
      <c r="AE935" s="239"/>
      <c r="AF935" s="239"/>
      <c r="AG935" s="239"/>
      <c r="AH935" s="239"/>
      <c r="AI935" s="239"/>
      <c r="AJ935" s="239"/>
      <c r="AK935" s="239"/>
      <c r="AL935" s="239"/>
      <c r="AM935" s="4"/>
      <c r="AN935" s="4"/>
    </row>
    <row r="936" ht="15.75" customHeight="1">
      <c r="A936" s="4"/>
      <c r="B936" s="4"/>
      <c r="C936" s="12"/>
      <c r="D936" s="4"/>
      <c r="E936" s="4"/>
      <c r="F936" s="4"/>
      <c r="G936" s="4"/>
      <c r="H936" s="4"/>
      <c r="I936" s="237"/>
      <c r="J936" s="238"/>
      <c r="K936" s="238"/>
      <c r="L936" s="239"/>
      <c r="M936" s="239"/>
      <c r="N936" s="239"/>
      <c r="O936" s="240"/>
      <c r="P936" s="238"/>
      <c r="Q936" s="241"/>
      <c r="R936" s="239"/>
      <c r="S936" s="239"/>
      <c r="T936" s="239"/>
      <c r="U936" s="240"/>
      <c r="V936" s="238"/>
      <c r="W936" s="242"/>
      <c r="X936" s="239"/>
      <c r="Y936" s="239"/>
      <c r="Z936" s="239"/>
      <c r="AA936" s="239"/>
      <c r="AB936" s="239"/>
      <c r="AC936" s="239"/>
      <c r="AD936" s="239"/>
      <c r="AE936" s="239"/>
      <c r="AF936" s="239"/>
      <c r="AG936" s="239"/>
      <c r="AH936" s="239"/>
      <c r="AI936" s="239"/>
      <c r="AJ936" s="239"/>
      <c r="AK936" s="239"/>
      <c r="AL936" s="239"/>
      <c r="AM936" s="4"/>
      <c r="AN936" s="4"/>
    </row>
    <row r="937" ht="15.75" customHeight="1">
      <c r="A937" s="4"/>
      <c r="B937" s="4"/>
      <c r="C937" s="12"/>
      <c r="D937" s="4"/>
      <c r="E937" s="4"/>
      <c r="F937" s="4"/>
      <c r="G937" s="4"/>
      <c r="H937" s="4"/>
      <c r="I937" s="237"/>
      <c r="J937" s="238"/>
      <c r="K937" s="238"/>
      <c r="L937" s="239"/>
      <c r="M937" s="239"/>
      <c r="N937" s="239"/>
      <c r="O937" s="240"/>
      <c r="P937" s="238"/>
      <c r="Q937" s="241"/>
      <c r="R937" s="239"/>
      <c r="S937" s="239"/>
      <c r="T937" s="239"/>
      <c r="U937" s="240"/>
      <c r="V937" s="238"/>
      <c r="W937" s="242"/>
      <c r="X937" s="239"/>
      <c r="Y937" s="239"/>
      <c r="Z937" s="239"/>
      <c r="AA937" s="239"/>
      <c r="AB937" s="239"/>
      <c r="AC937" s="239"/>
      <c r="AD937" s="239"/>
      <c r="AE937" s="239"/>
      <c r="AF937" s="239"/>
      <c r="AG937" s="239"/>
      <c r="AH937" s="239"/>
      <c r="AI937" s="239"/>
      <c r="AJ937" s="239"/>
      <c r="AK937" s="239"/>
      <c r="AL937" s="239"/>
      <c r="AM937" s="4"/>
      <c r="AN937" s="4"/>
    </row>
    <row r="938" ht="15.75" customHeight="1">
      <c r="A938" s="4"/>
      <c r="B938" s="4"/>
      <c r="C938" s="12"/>
      <c r="D938" s="4"/>
      <c r="E938" s="4"/>
      <c r="F938" s="4"/>
      <c r="G938" s="4"/>
      <c r="H938" s="4"/>
      <c r="I938" s="237"/>
      <c r="J938" s="238"/>
      <c r="K938" s="238"/>
      <c r="L938" s="239"/>
      <c r="M938" s="239"/>
      <c r="N938" s="239"/>
      <c r="O938" s="240"/>
      <c r="P938" s="238"/>
      <c r="Q938" s="241"/>
      <c r="R938" s="239"/>
      <c r="S938" s="239"/>
      <c r="T938" s="239"/>
      <c r="U938" s="240"/>
      <c r="V938" s="238"/>
      <c r="W938" s="242"/>
      <c r="X938" s="239"/>
      <c r="Y938" s="239"/>
      <c r="Z938" s="239"/>
      <c r="AA938" s="239"/>
      <c r="AB938" s="239"/>
      <c r="AC938" s="239"/>
      <c r="AD938" s="239"/>
      <c r="AE938" s="239"/>
      <c r="AF938" s="239"/>
      <c r="AG938" s="239"/>
      <c r="AH938" s="239"/>
      <c r="AI938" s="239"/>
      <c r="AJ938" s="239"/>
      <c r="AK938" s="239"/>
      <c r="AL938" s="239"/>
      <c r="AM938" s="4"/>
      <c r="AN938" s="4"/>
    </row>
    <row r="939" ht="15.75" customHeight="1">
      <c r="A939" s="4"/>
      <c r="B939" s="4"/>
      <c r="C939" s="12"/>
      <c r="D939" s="4"/>
      <c r="E939" s="4"/>
      <c r="F939" s="4"/>
      <c r="G939" s="4"/>
      <c r="H939" s="4"/>
      <c r="I939" s="237"/>
      <c r="J939" s="238"/>
      <c r="K939" s="238"/>
      <c r="L939" s="239"/>
      <c r="M939" s="239"/>
      <c r="N939" s="239"/>
      <c r="O939" s="240"/>
      <c r="P939" s="238"/>
      <c r="Q939" s="241"/>
      <c r="R939" s="239"/>
      <c r="S939" s="239"/>
      <c r="T939" s="239"/>
      <c r="U939" s="240"/>
      <c r="V939" s="238"/>
      <c r="W939" s="242"/>
      <c r="X939" s="239"/>
      <c r="Y939" s="239"/>
      <c r="Z939" s="239"/>
      <c r="AA939" s="239"/>
      <c r="AB939" s="239"/>
      <c r="AC939" s="239"/>
      <c r="AD939" s="239"/>
      <c r="AE939" s="239"/>
      <c r="AF939" s="239"/>
      <c r="AG939" s="239"/>
      <c r="AH939" s="239"/>
      <c r="AI939" s="239"/>
      <c r="AJ939" s="239"/>
      <c r="AK939" s="239"/>
      <c r="AL939" s="239"/>
      <c r="AM939" s="4"/>
      <c r="AN939" s="4"/>
    </row>
    <row r="940" ht="15.75" customHeight="1">
      <c r="A940" s="4"/>
      <c r="B940" s="4"/>
      <c r="C940" s="12"/>
      <c r="D940" s="4"/>
      <c r="E940" s="4"/>
      <c r="F940" s="4"/>
      <c r="G940" s="4"/>
      <c r="H940" s="4"/>
      <c r="I940" s="237"/>
      <c r="J940" s="238"/>
      <c r="K940" s="238"/>
      <c r="L940" s="239"/>
      <c r="M940" s="239"/>
      <c r="N940" s="239"/>
      <c r="O940" s="240"/>
      <c r="P940" s="238"/>
      <c r="Q940" s="241"/>
      <c r="R940" s="239"/>
      <c r="S940" s="239"/>
      <c r="T940" s="239"/>
      <c r="U940" s="240"/>
      <c r="V940" s="238"/>
      <c r="W940" s="242"/>
      <c r="X940" s="239"/>
      <c r="Y940" s="239"/>
      <c r="Z940" s="239"/>
      <c r="AA940" s="239"/>
      <c r="AB940" s="239"/>
      <c r="AC940" s="239"/>
      <c r="AD940" s="239"/>
      <c r="AE940" s="239"/>
      <c r="AF940" s="239"/>
      <c r="AG940" s="239"/>
      <c r="AH940" s="239"/>
      <c r="AI940" s="239"/>
      <c r="AJ940" s="239"/>
      <c r="AK940" s="239"/>
      <c r="AL940" s="239"/>
      <c r="AM940" s="4"/>
      <c r="AN940" s="4"/>
    </row>
    <row r="941" ht="15.75" customHeight="1">
      <c r="A941" s="4"/>
      <c r="B941" s="4"/>
      <c r="C941" s="12"/>
      <c r="D941" s="4"/>
      <c r="E941" s="4"/>
      <c r="F941" s="4"/>
      <c r="G941" s="4"/>
      <c r="H941" s="4"/>
      <c r="I941" s="237"/>
      <c r="J941" s="238"/>
      <c r="K941" s="238"/>
      <c r="L941" s="239"/>
      <c r="M941" s="239"/>
      <c r="N941" s="239"/>
      <c r="O941" s="240"/>
      <c r="P941" s="238"/>
      <c r="Q941" s="241"/>
      <c r="R941" s="239"/>
      <c r="S941" s="239"/>
      <c r="T941" s="239"/>
      <c r="U941" s="240"/>
      <c r="V941" s="238"/>
      <c r="W941" s="242"/>
      <c r="X941" s="239"/>
      <c r="Y941" s="239"/>
      <c r="Z941" s="239"/>
      <c r="AA941" s="239"/>
      <c r="AB941" s="239"/>
      <c r="AC941" s="239"/>
      <c r="AD941" s="239"/>
      <c r="AE941" s="239"/>
      <c r="AF941" s="239"/>
      <c r="AG941" s="239"/>
      <c r="AH941" s="239"/>
      <c r="AI941" s="239"/>
      <c r="AJ941" s="239"/>
      <c r="AK941" s="239"/>
      <c r="AL941" s="239"/>
      <c r="AM941" s="4"/>
      <c r="AN941" s="4"/>
    </row>
    <row r="942" ht="15.75" customHeight="1">
      <c r="A942" s="4"/>
      <c r="B942" s="4"/>
      <c r="C942" s="12"/>
      <c r="D942" s="4"/>
      <c r="E942" s="4"/>
      <c r="F942" s="4"/>
      <c r="G942" s="4"/>
      <c r="H942" s="4"/>
      <c r="I942" s="237"/>
      <c r="J942" s="238"/>
      <c r="K942" s="238"/>
      <c r="L942" s="239"/>
      <c r="M942" s="239"/>
      <c r="N942" s="239"/>
      <c r="O942" s="240"/>
      <c r="P942" s="238"/>
      <c r="Q942" s="241"/>
      <c r="R942" s="239"/>
      <c r="S942" s="239"/>
      <c r="T942" s="239"/>
      <c r="U942" s="240"/>
      <c r="V942" s="238"/>
      <c r="W942" s="242"/>
      <c r="X942" s="239"/>
      <c r="Y942" s="239"/>
      <c r="Z942" s="239"/>
      <c r="AA942" s="239"/>
      <c r="AB942" s="239"/>
      <c r="AC942" s="239"/>
      <c r="AD942" s="239"/>
      <c r="AE942" s="239"/>
      <c r="AF942" s="239"/>
      <c r="AG942" s="239"/>
      <c r="AH942" s="239"/>
      <c r="AI942" s="239"/>
      <c r="AJ942" s="239"/>
      <c r="AK942" s="239"/>
      <c r="AL942" s="239"/>
      <c r="AM942" s="4"/>
      <c r="AN942" s="4"/>
    </row>
    <row r="943" ht="15.75" customHeight="1">
      <c r="A943" s="4"/>
      <c r="B943" s="4"/>
      <c r="C943" s="12"/>
      <c r="D943" s="4"/>
      <c r="E943" s="4"/>
      <c r="F943" s="4"/>
      <c r="G943" s="4"/>
      <c r="H943" s="4"/>
      <c r="I943" s="237"/>
      <c r="J943" s="238"/>
      <c r="K943" s="238"/>
      <c r="L943" s="239"/>
      <c r="M943" s="239"/>
      <c r="N943" s="239"/>
      <c r="O943" s="240"/>
      <c r="P943" s="238"/>
      <c r="Q943" s="241"/>
      <c r="R943" s="239"/>
      <c r="S943" s="239"/>
      <c r="T943" s="239"/>
      <c r="U943" s="240"/>
      <c r="V943" s="238"/>
      <c r="W943" s="242"/>
      <c r="X943" s="239"/>
      <c r="Y943" s="239"/>
      <c r="Z943" s="239"/>
      <c r="AA943" s="239"/>
      <c r="AB943" s="239"/>
      <c r="AC943" s="239"/>
      <c r="AD943" s="239"/>
      <c r="AE943" s="239"/>
      <c r="AF943" s="239"/>
      <c r="AG943" s="239"/>
      <c r="AH943" s="239"/>
      <c r="AI943" s="239"/>
      <c r="AJ943" s="239"/>
      <c r="AK943" s="239"/>
      <c r="AL943" s="239"/>
      <c r="AM943" s="4"/>
      <c r="AN943" s="4"/>
    </row>
    <row r="944" ht="15.75" customHeight="1">
      <c r="A944" s="4"/>
      <c r="B944" s="4"/>
      <c r="C944" s="12"/>
      <c r="D944" s="4"/>
      <c r="E944" s="4"/>
      <c r="F944" s="4"/>
      <c r="G944" s="4"/>
      <c r="H944" s="4"/>
      <c r="I944" s="237"/>
      <c r="J944" s="238"/>
      <c r="K944" s="238"/>
      <c r="L944" s="239"/>
      <c r="M944" s="239"/>
      <c r="N944" s="239"/>
      <c r="O944" s="240"/>
      <c r="P944" s="238"/>
      <c r="Q944" s="241"/>
      <c r="R944" s="239"/>
      <c r="S944" s="239"/>
      <c r="T944" s="239"/>
      <c r="U944" s="240"/>
      <c r="V944" s="238"/>
      <c r="W944" s="242"/>
      <c r="X944" s="239"/>
      <c r="Y944" s="239"/>
      <c r="Z944" s="239"/>
      <c r="AA944" s="239"/>
      <c r="AB944" s="239"/>
      <c r="AC944" s="239"/>
      <c r="AD944" s="239"/>
      <c r="AE944" s="239"/>
      <c r="AF944" s="239"/>
      <c r="AG944" s="239"/>
      <c r="AH944" s="239"/>
      <c r="AI944" s="239"/>
      <c r="AJ944" s="239"/>
      <c r="AK944" s="239"/>
      <c r="AL944" s="239"/>
      <c r="AM944" s="4"/>
      <c r="AN944" s="4"/>
    </row>
    <row r="945" ht="15.75" customHeight="1">
      <c r="A945" s="4"/>
      <c r="B945" s="4"/>
      <c r="C945" s="12"/>
      <c r="D945" s="4"/>
      <c r="E945" s="4"/>
      <c r="F945" s="4"/>
      <c r="G945" s="4"/>
      <c r="H945" s="4"/>
      <c r="I945" s="237"/>
      <c r="J945" s="238"/>
      <c r="K945" s="238"/>
      <c r="L945" s="239"/>
      <c r="M945" s="239"/>
      <c r="N945" s="239"/>
      <c r="O945" s="240"/>
      <c r="P945" s="238"/>
      <c r="Q945" s="241"/>
      <c r="R945" s="239"/>
      <c r="S945" s="239"/>
      <c r="T945" s="239"/>
      <c r="U945" s="240"/>
      <c r="V945" s="238"/>
      <c r="W945" s="242"/>
      <c r="X945" s="239"/>
      <c r="Y945" s="239"/>
      <c r="Z945" s="239"/>
      <c r="AA945" s="239"/>
      <c r="AB945" s="239"/>
      <c r="AC945" s="239"/>
      <c r="AD945" s="239"/>
      <c r="AE945" s="239"/>
      <c r="AF945" s="239"/>
      <c r="AG945" s="239"/>
      <c r="AH945" s="239"/>
      <c r="AI945" s="239"/>
      <c r="AJ945" s="239"/>
      <c r="AK945" s="239"/>
      <c r="AL945" s="239"/>
      <c r="AM945" s="4"/>
      <c r="AN945" s="4"/>
    </row>
    <row r="946" ht="15.75" customHeight="1">
      <c r="A946" s="4"/>
      <c r="B946" s="4"/>
      <c r="C946" s="12"/>
      <c r="D946" s="4"/>
      <c r="E946" s="4"/>
      <c r="F946" s="4"/>
      <c r="G946" s="4"/>
      <c r="H946" s="4"/>
      <c r="I946" s="237"/>
      <c r="J946" s="238"/>
      <c r="K946" s="238"/>
      <c r="L946" s="239"/>
      <c r="M946" s="239"/>
      <c r="N946" s="239"/>
      <c r="O946" s="240"/>
      <c r="P946" s="238"/>
      <c r="Q946" s="241"/>
      <c r="R946" s="239"/>
      <c r="S946" s="239"/>
      <c r="T946" s="239"/>
      <c r="U946" s="240"/>
      <c r="V946" s="238"/>
      <c r="W946" s="242"/>
      <c r="X946" s="239"/>
      <c r="Y946" s="239"/>
      <c r="Z946" s="239"/>
      <c r="AA946" s="239"/>
      <c r="AB946" s="239"/>
      <c r="AC946" s="239"/>
      <c r="AD946" s="239"/>
      <c r="AE946" s="239"/>
      <c r="AF946" s="239"/>
      <c r="AG946" s="239"/>
      <c r="AH946" s="239"/>
      <c r="AI946" s="239"/>
      <c r="AJ946" s="239"/>
      <c r="AK946" s="239"/>
      <c r="AL946" s="239"/>
      <c r="AM946" s="4"/>
      <c r="AN946" s="4"/>
    </row>
    <row r="947" ht="15.75" customHeight="1">
      <c r="A947" s="4"/>
      <c r="B947" s="4"/>
      <c r="C947" s="12"/>
      <c r="D947" s="4"/>
      <c r="E947" s="4"/>
      <c r="F947" s="4"/>
      <c r="G947" s="4"/>
      <c r="H947" s="4"/>
      <c r="I947" s="237"/>
      <c r="J947" s="238"/>
      <c r="K947" s="238"/>
      <c r="L947" s="239"/>
      <c r="M947" s="239"/>
      <c r="N947" s="239"/>
      <c r="O947" s="240"/>
      <c r="P947" s="238"/>
      <c r="Q947" s="241"/>
      <c r="R947" s="239"/>
      <c r="S947" s="239"/>
      <c r="T947" s="239"/>
      <c r="U947" s="240"/>
      <c r="V947" s="238"/>
      <c r="W947" s="242"/>
      <c r="X947" s="239"/>
      <c r="Y947" s="239"/>
      <c r="Z947" s="239"/>
      <c r="AA947" s="239"/>
      <c r="AB947" s="239"/>
      <c r="AC947" s="239"/>
      <c r="AD947" s="239"/>
      <c r="AE947" s="239"/>
      <c r="AF947" s="239"/>
      <c r="AG947" s="239"/>
      <c r="AH947" s="239"/>
      <c r="AI947" s="239"/>
      <c r="AJ947" s="239"/>
      <c r="AK947" s="239"/>
      <c r="AL947" s="239"/>
      <c r="AM947" s="4"/>
      <c r="AN947" s="4"/>
    </row>
    <row r="948" ht="15.75" customHeight="1">
      <c r="A948" s="4"/>
      <c r="B948" s="4"/>
      <c r="C948" s="12"/>
      <c r="D948" s="4"/>
      <c r="E948" s="4"/>
      <c r="F948" s="4"/>
      <c r="G948" s="4"/>
      <c r="H948" s="4"/>
      <c r="I948" s="237"/>
      <c r="J948" s="238"/>
      <c r="K948" s="238"/>
      <c r="L948" s="239"/>
      <c r="M948" s="239"/>
      <c r="N948" s="239"/>
      <c r="O948" s="240"/>
      <c r="P948" s="238"/>
      <c r="Q948" s="241"/>
      <c r="R948" s="239"/>
      <c r="S948" s="239"/>
      <c r="T948" s="239"/>
      <c r="U948" s="240"/>
      <c r="V948" s="238"/>
      <c r="W948" s="242"/>
      <c r="X948" s="239"/>
      <c r="Y948" s="239"/>
      <c r="Z948" s="239"/>
      <c r="AA948" s="239"/>
      <c r="AB948" s="239"/>
      <c r="AC948" s="239"/>
      <c r="AD948" s="239"/>
      <c r="AE948" s="239"/>
      <c r="AF948" s="239"/>
      <c r="AG948" s="239"/>
      <c r="AH948" s="239"/>
      <c r="AI948" s="239"/>
      <c r="AJ948" s="239"/>
      <c r="AK948" s="239"/>
      <c r="AL948" s="239"/>
      <c r="AM948" s="4"/>
      <c r="AN948" s="4"/>
    </row>
    <row r="949" ht="15.75" customHeight="1">
      <c r="A949" s="4"/>
      <c r="B949" s="4"/>
      <c r="C949" s="12"/>
      <c r="D949" s="4"/>
      <c r="E949" s="4"/>
      <c r="F949" s="4"/>
      <c r="G949" s="4"/>
      <c r="H949" s="4"/>
      <c r="I949" s="237"/>
      <c r="J949" s="238"/>
      <c r="K949" s="238"/>
      <c r="L949" s="239"/>
      <c r="M949" s="239"/>
      <c r="N949" s="239"/>
      <c r="O949" s="240"/>
      <c r="P949" s="238"/>
      <c r="Q949" s="241"/>
      <c r="R949" s="239"/>
      <c r="S949" s="239"/>
      <c r="T949" s="239"/>
      <c r="U949" s="240"/>
      <c r="V949" s="238"/>
      <c r="W949" s="242"/>
      <c r="X949" s="239"/>
      <c r="Y949" s="239"/>
      <c r="Z949" s="239"/>
      <c r="AA949" s="239"/>
      <c r="AB949" s="239"/>
      <c r="AC949" s="239"/>
      <c r="AD949" s="239"/>
      <c r="AE949" s="239"/>
      <c r="AF949" s="239"/>
      <c r="AG949" s="239"/>
      <c r="AH949" s="239"/>
      <c r="AI949" s="239"/>
      <c r="AJ949" s="239"/>
      <c r="AK949" s="239"/>
      <c r="AL949" s="239"/>
      <c r="AM949" s="4"/>
      <c r="AN949" s="4"/>
    </row>
    <row r="950" ht="15.75" customHeight="1">
      <c r="A950" s="4"/>
      <c r="B950" s="4"/>
      <c r="C950" s="12"/>
      <c r="D950" s="4"/>
      <c r="E950" s="4"/>
      <c r="F950" s="4"/>
      <c r="G950" s="4"/>
      <c r="H950" s="4"/>
      <c r="I950" s="237"/>
      <c r="J950" s="238"/>
      <c r="K950" s="238"/>
      <c r="L950" s="239"/>
      <c r="M950" s="239"/>
      <c r="N950" s="239"/>
      <c r="O950" s="240"/>
      <c r="P950" s="238"/>
      <c r="Q950" s="241"/>
      <c r="R950" s="239"/>
      <c r="S950" s="239"/>
      <c r="T950" s="239"/>
      <c r="U950" s="240"/>
      <c r="V950" s="238"/>
      <c r="W950" s="242"/>
      <c r="X950" s="239"/>
      <c r="Y950" s="239"/>
      <c r="Z950" s="239"/>
      <c r="AA950" s="239"/>
      <c r="AB950" s="239"/>
      <c r="AC950" s="239"/>
      <c r="AD950" s="239"/>
      <c r="AE950" s="239"/>
      <c r="AF950" s="239"/>
      <c r="AG950" s="239"/>
      <c r="AH950" s="239"/>
      <c r="AI950" s="239"/>
      <c r="AJ950" s="239"/>
      <c r="AK950" s="239"/>
      <c r="AL950" s="239"/>
      <c r="AM950" s="4"/>
      <c r="AN950" s="4"/>
    </row>
    <row r="951" ht="15.75" customHeight="1">
      <c r="A951" s="4"/>
      <c r="B951" s="4"/>
      <c r="C951" s="12"/>
      <c r="D951" s="4"/>
      <c r="E951" s="4"/>
      <c r="F951" s="4"/>
      <c r="G951" s="4"/>
      <c r="H951" s="4"/>
      <c r="I951" s="237"/>
      <c r="J951" s="238"/>
      <c r="K951" s="238"/>
      <c r="L951" s="239"/>
      <c r="M951" s="239"/>
      <c r="N951" s="239"/>
      <c r="O951" s="240"/>
      <c r="P951" s="238"/>
      <c r="Q951" s="241"/>
      <c r="R951" s="239"/>
      <c r="S951" s="239"/>
      <c r="T951" s="239"/>
      <c r="U951" s="240"/>
      <c r="V951" s="238"/>
      <c r="W951" s="242"/>
      <c r="X951" s="239"/>
      <c r="Y951" s="239"/>
      <c r="Z951" s="239"/>
      <c r="AA951" s="239"/>
      <c r="AB951" s="239"/>
      <c r="AC951" s="239"/>
      <c r="AD951" s="239"/>
      <c r="AE951" s="239"/>
      <c r="AF951" s="239"/>
      <c r="AG951" s="239"/>
      <c r="AH951" s="239"/>
      <c r="AI951" s="239"/>
      <c r="AJ951" s="239"/>
      <c r="AK951" s="239"/>
      <c r="AL951" s="239"/>
      <c r="AM951" s="4"/>
      <c r="AN951" s="4"/>
    </row>
    <row r="952" ht="15.75" customHeight="1">
      <c r="A952" s="4"/>
      <c r="B952" s="4"/>
      <c r="C952" s="12"/>
      <c r="D952" s="4"/>
      <c r="E952" s="4"/>
      <c r="F952" s="4"/>
      <c r="G952" s="4"/>
      <c r="H952" s="4"/>
      <c r="I952" s="237"/>
      <c r="J952" s="238"/>
      <c r="K952" s="238"/>
      <c r="L952" s="239"/>
      <c r="M952" s="239"/>
      <c r="N952" s="239"/>
      <c r="O952" s="240"/>
      <c r="P952" s="238"/>
      <c r="Q952" s="241"/>
      <c r="R952" s="239"/>
      <c r="S952" s="239"/>
      <c r="T952" s="239"/>
      <c r="U952" s="240"/>
      <c r="V952" s="238"/>
      <c r="W952" s="242"/>
      <c r="X952" s="239"/>
      <c r="Y952" s="239"/>
      <c r="Z952" s="239"/>
      <c r="AA952" s="239"/>
      <c r="AB952" s="239"/>
      <c r="AC952" s="239"/>
      <c r="AD952" s="239"/>
      <c r="AE952" s="239"/>
      <c r="AF952" s="239"/>
      <c r="AG952" s="239"/>
      <c r="AH952" s="239"/>
      <c r="AI952" s="239"/>
      <c r="AJ952" s="239"/>
      <c r="AK952" s="239"/>
      <c r="AL952" s="239"/>
      <c r="AM952" s="4"/>
      <c r="AN952" s="4"/>
    </row>
    <row r="953" ht="15.75" customHeight="1">
      <c r="A953" s="4"/>
      <c r="B953" s="4"/>
      <c r="C953" s="12"/>
      <c r="D953" s="4"/>
      <c r="E953" s="4"/>
      <c r="F953" s="4"/>
      <c r="G953" s="4"/>
      <c r="H953" s="4"/>
      <c r="I953" s="237"/>
      <c r="J953" s="238"/>
      <c r="K953" s="238"/>
      <c r="L953" s="239"/>
      <c r="M953" s="239"/>
      <c r="N953" s="239"/>
      <c r="O953" s="240"/>
      <c r="P953" s="238"/>
      <c r="Q953" s="241"/>
      <c r="R953" s="239"/>
      <c r="S953" s="239"/>
      <c r="T953" s="239"/>
      <c r="U953" s="240"/>
      <c r="V953" s="238"/>
      <c r="W953" s="242"/>
      <c r="X953" s="239"/>
      <c r="Y953" s="239"/>
      <c r="Z953" s="239"/>
      <c r="AA953" s="239"/>
      <c r="AB953" s="239"/>
      <c r="AC953" s="239"/>
      <c r="AD953" s="239"/>
      <c r="AE953" s="239"/>
      <c r="AF953" s="239"/>
      <c r="AG953" s="239"/>
      <c r="AH953" s="239"/>
      <c r="AI953" s="239"/>
      <c r="AJ953" s="239"/>
      <c r="AK953" s="239"/>
      <c r="AL953" s="239"/>
      <c r="AM953" s="4"/>
      <c r="AN953" s="4"/>
    </row>
    <row r="954" ht="15.75" customHeight="1">
      <c r="A954" s="4"/>
      <c r="B954" s="4"/>
      <c r="C954" s="12"/>
      <c r="D954" s="4"/>
      <c r="E954" s="4"/>
      <c r="F954" s="4"/>
      <c r="G954" s="4"/>
      <c r="H954" s="4"/>
      <c r="I954" s="237"/>
      <c r="J954" s="238"/>
      <c r="K954" s="238"/>
      <c r="L954" s="239"/>
      <c r="M954" s="239"/>
      <c r="N954" s="239"/>
      <c r="O954" s="240"/>
      <c r="P954" s="238"/>
      <c r="Q954" s="241"/>
      <c r="R954" s="239"/>
      <c r="S954" s="239"/>
      <c r="T954" s="239"/>
      <c r="U954" s="240"/>
      <c r="V954" s="238"/>
      <c r="W954" s="242"/>
      <c r="X954" s="239"/>
      <c r="Y954" s="239"/>
      <c r="Z954" s="239"/>
      <c r="AA954" s="239"/>
      <c r="AB954" s="239"/>
      <c r="AC954" s="239"/>
      <c r="AD954" s="239"/>
      <c r="AE954" s="239"/>
      <c r="AF954" s="239"/>
      <c r="AG954" s="239"/>
      <c r="AH954" s="239"/>
      <c r="AI954" s="239"/>
      <c r="AJ954" s="239"/>
      <c r="AK954" s="239"/>
      <c r="AL954" s="239"/>
      <c r="AM954" s="4"/>
      <c r="AN954" s="4"/>
    </row>
    <row r="955" ht="15.75" customHeight="1">
      <c r="A955" s="4"/>
      <c r="B955" s="4"/>
      <c r="C955" s="12"/>
      <c r="D955" s="4"/>
      <c r="E955" s="4"/>
      <c r="F955" s="4"/>
      <c r="G955" s="4"/>
      <c r="H955" s="4"/>
      <c r="I955" s="237"/>
      <c r="J955" s="238"/>
      <c r="K955" s="238"/>
      <c r="L955" s="239"/>
      <c r="M955" s="239"/>
      <c r="N955" s="239"/>
      <c r="O955" s="240"/>
      <c r="P955" s="238"/>
      <c r="Q955" s="241"/>
      <c r="R955" s="239"/>
      <c r="S955" s="239"/>
      <c r="T955" s="239"/>
      <c r="U955" s="240"/>
      <c r="V955" s="238"/>
      <c r="W955" s="242"/>
      <c r="X955" s="239"/>
      <c r="Y955" s="239"/>
      <c r="Z955" s="239"/>
      <c r="AA955" s="239"/>
      <c r="AB955" s="239"/>
      <c r="AC955" s="239"/>
      <c r="AD955" s="239"/>
      <c r="AE955" s="239"/>
      <c r="AF955" s="239"/>
      <c r="AG955" s="239"/>
      <c r="AH955" s="239"/>
      <c r="AI955" s="239"/>
      <c r="AJ955" s="239"/>
      <c r="AK955" s="239"/>
      <c r="AL955" s="239"/>
      <c r="AM955" s="4"/>
      <c r="AN955" s="4"/>
    </row>
    <row r="956" ht="15.75" customHeight="1">
      <c r="A956" s="4"/>
      <c r="B956" s="4"/>
      <c r="C956" s="12"/>
      <c r="D956" s="4"/>
      <c r="E956" s="4"/>
      <c r="F956" s="4"/>
      <c r="G956" s="4"/>
      <c r="H956" s="4"/>
      <c r="I956" s="237"/>
      <c r="J956" s="238"/>
      <c r="K956" s="238"/>
      <c r="L956" s="239"/>
      <c r="M956" s="239"/>
      <c r="N956" s="239"/>
      <c r="O956" s="240"/>
      <c r="P956" s="238"/>
      <c r="Q956" s="241"/>
      <c r="R956" s="239"/>
      <c r="S956" s="239"/>
      <c r="T956" s="239"/>
      <c r="U956" s="240"/>
      <c r="V956" s="238"/>
      <c r="W956" s="242"/>
      <c r="X956" s="239"/>
      <c r="Y956" s="239"/>
      <c r="Z956" s="239"/>
      <c r="AA956" s="239"/>
      <c r="AB956" s="239"/>
      <c r="AC956" s="239"/>
      <c r="AD956" s="239"/>
      <c r="AE956" s="239"/>
      <c r="AF956" s="239"/>
      <c r="AG956" s="239"/>
      <c r="AH956" s="239"/>
      <c r="AI956" s="239"/>
      <c r="AJ956" s="239"/>
      <c r="AK956" s="239"/>
      <c r="AL956" s="239"/>
      <c r="AM956" s="4"/>
      <c r="AN956" s="4"/>
    </row>
    <row r="957" ht="15.75" customHeight="1">
      <c r="A957" s="4"/>
      <c r="B957" s="4"/>
      <c r="C957" s="12"/>
      <c r="D957" s="4"/>
      <c r="E957" s="4"/>
      <c r="F957" s="4"/>
      <c r="G957" s="4"/>
      <c r="H957" s="4"/>
      <c r="I957" s="237"/>
      <c r="J957" s="238"/>
      <c r="K957" s="238"/>
      <c r="L957" s="239"/>
      <c r="M957" s="239"/>
      <c r="N957" s="239"/>
      <c r="O957" s="240"/>
      <c r="P957" s="238"/>
      <c r="Q957" s="241"/>
      <c r="R957" s="239"/>
      <c r="S957" s="239"/>
      <c r="T957" s="239"/>
      <c r="U957" s="240"/>
      <c r="V957" s="238"/>
      <c r="W957" s="242"/>
      <c r="X957" s="239"/>
      <c r="Y957" s="239"/>
      <c r="Z957" s="239"/>
      <c r="AA957" s="239"/>
      <c r="AB957" s="239"/>
      <c r="AC957" s="239"/>
      <c r="AD957" s="239"/>
      <c r="AE957" s="239"/>
      <c r="AF957" s="239"/>
      <c r="AG957" s="239"/>
      <c r="AH957" s="239"/>
      <c r="AI957" s="239"/>
      <c r="AJ957" s="239"/>
      <c r="AK957" s="239"/>
      <c r="AL957" s="239"/>
      <c r="AM957" s="4"/>
      <c r="AN957" s="4"/>
    </row>
    <row r="958" ht="15.75" customHeight="1">
      <c r="A958" s="4"/>
      <c r="B958" s="4"/>
      <c r="C958" s="12"/>
      <c r="D958" s="4"/>
      <c r="E958" s="4"/>
      <c r="F958" s="4"/>
      <c r="G958" s="4"/>
      <c r="H958" s="4"/>
      <c r="I958" s="237"/>
      <c r="J958" s="238"/>
      <c r="K958" s="238"/>
      <c r="L958" s="239"/>
      <c r="M958" s="239"/>
      <c r="N958" s="239"/>
      <c r="O958" s="240"/>
      <c r="P958" s="238"/>
      <c r="Q958" s="241"/>
      <c r="R958" s="239"/>
      <c r="S958" s="239"/>
      <c r="T958" s="239"/>
      <c r="U958" s="240"/>
      <c r="V958" s="238"/>
      <c r="W958" s="242"/>
      <c r="X958" s="239"/>
      <c r="Y958" s="239"/>
      <c r="Z958" s="239"/>
      <c r="AA958" s="239"/>
      <c r="AB958" s="239"/>
      <c r="AC958" s="239"/>
      <c r="AD958" s="239"/>
      <c r="AE958" s="239"/>
      <c r="AF958" s="239"/>
      <c r="AG958" s="239"/>
      <c r="AH958" s="239"/>
      <c r="AI958" s="239"/>
      <c r="AJ958" s="239"/>
      <c r="AK958" s="239"/>
      <c r="AL958" s="239"/>
      <c r="AM958" s="4"/>
      <c r="AN958" s="4"/>
    </row>
    <row r="959" ht="15.75" customHeight="1">
      <c r="A959" s="4"/>
      <c r="B959" s="4"/>
      <c r="C959" s="12"/>
      <c r="D959" s="4"/>
      <c r="E959" s="4"/>
      <c r="F959" s="4"/>
      <c r="G959" s="4"/>
      <c r="H959" s="4"/>
      <c r="I959" s="237"/>
      <c r="J959" s="238"/>
      <c r="K959" s="238"/>
      <c r="L959" s="239"/>
      <c r="M959" s="239"/>
      <c r="N959" s="239"/>
      <c r="O959" s="240"/>
      <c r="P959" s="238"/>
      <c r="Q959" s="241"/>
      <c r="R959" s="239"/>
      <c r="S959" s="239"/>
      <c r="T959" s="239"/>
      <c r="U959" s="240"/>
      <c r="V959" s="238"/>
      <c r="W959" s="242"/>
      <c r="X959" s="239"/>
      <c r="Y959" s="239"/>
      <c r="Z959" s="239"/>
      <c r="AA959" s="239"/>
      <c r="AB959" s="239"/>
      <c r="AC959" s="239"/>
      <c r="AD959" s="239"/>
      <c r="AE959" s="239"/>
      <c r="AF959" s="239"/>
      <c r="AG959" s="239"/>
      <c r="AH959" s="239"/>
      <c r="AI959" s="239"/>
      <c r="AJ959" s="239"/>
      <c r="AK959" s="239"/>
      <c r="AL959" s="239"/>
      <c r="AM959" s="4"/>
      <c r="AN959" s="4"/>
    </row>
    <row r="960" ht="15.75" customHeight="1">
      <c r="A960" s="4"/>
      <c r="B960" s="4"/>
      <c r="C960" s="12"/>
      <c r="D960" s="4"/>
      <c r="E960" s="4"/>
      <c r="F960" s="4"/>
      <c r="G960" s="4"/>
      <c r="H960" s="4"/>
      <c r="I960" s="237"/>
      <c r="J960" s="238"/>
      <c r="K960" s="238"/>
      <c r="L960" s="239"/>
      <c r="M960" s="239"/>
      <c r="N960" s="239"/>
      <c r="O960" s="240"/>
      <c r="P960" s="238"/>
      <c r="Q960" s="241"/>
      <c r="R960" s="239"/>
      <c r="S960" s="239"/>
      <c r="T960" s="239"/>
      <c r="U960" s="240"/>
      <c r="V960" s="238"/>
      <c r="W960" s="242"/>
      <c r="X960" s="239"/>
      <c r="Y960" s="239"/>
      <c r="Z960" s="239"/>
      <c r="AA960" s="239"/>
      <c r="AB960" s="239"/>
      <c r="AC960" s="239"/>
      <c r="AD960" s="239"/>
      <c r="AE960" s="239"/>
      <c r="AF960" s="239"/>
      <c r="AG960" s="239"/>
      <c r="AH960" s="239"/>
      <c r="AI960" s="239"/>
      <c r="AJ960" s="239"/>
      <c r="AK960" s="239"/>
      <c r="AL960" s="239"/>
      <c r="AM960" s="4"/>
      <c r="AN960" s="4"/>
    </row>
    <row r="961" ht="15.75" customHeight="1">
      <c r="A961" s="4"/>
      <c r="B961" s="4"/>
      <c r="C961" s="12"/>
      <c r="D961" s="4"/>
      <c r="E961" s="4"/>
      <c r="F961" s="4"/>
      <c r="G961" s="4"/>
      <c r="H961" s="4"/>
      <c r="I961" s="237"/>
      <c r="J961" s="238"/>
      <c r="K961" s="238"/>
      <c r="L961" s="239"/>
      <c r="M961" s="239"/>
      <c r="N961" s="239"/>
      <c r="O961" s="240"/>
      <c r="P961" s="238"/>
      <c r="Q961" s="241"/>
      <c r="R961" s="239"/>
      <c r="S961" s="239"/>
      <c r="T961" s="239"/>
      <c r="U961" s="240"/>
      <c r="V961" s="238"/>
      <c r="W961" s="242"/>
      <c r="X961" s="239"/>
      <c r="Y961" s="239"/>
      <c r="Z961" s="239"/>
      <c r="AA961" s="239"/>
      <c r="AB961" s="239"/>
      <c r="AC961" s="239"/>
      <c r="AD961" s="239"/>
      <c r="AE961" s="239"/>
      <c r="AF961" s="239"/>
      <c r="AG961" s="239"/>
      <c r="AH961" s="239"/>
      <c r="AI961" s="239"/>
      <c r="AJ961" s="239"/>
      <c r="AK961" s="239"/>
      <c r="AL961" s="239"/>
      <c r="AM961" s="4"/>
      <c r="AN961" s="4"/>
    </row>
    <row r="962" ht="15.75" customHeight="1">
      <c r="A962" s="4"/>
      <c r="B962" s="4"/>
      <c r="C962" s="12"/>
      <c r="D962" s="4"/>
      <c r="E962" s="4"/>
      <c r="F962" s="4"/>
      <c r="G962" s="4"/>
      <c r="H962" s="4"/>
      <c r="I962" s="237"/>
      <c r="J962" s="238"/>
      <c r="K962" s="238"/>
      <c r="L962" s="239"/>
      <c r="M962" s="239"/>
      <c r="N962" s="239"/>
      <c r="O962" s="240"/>
      <c r="P962" s="238"/>
      <c r="Q962" s="241"/>
      <c r="R962" s="239"/>
      <c r="S962" s="239"/>
      <c r="T962" s="239"/>
      <c r="U962" s="240"/>
      <c r="V962" s="238"/>
      <c r="W962" s="242"/>
      <c r="X962" s="239"/>
      <c r="Y962" s="239"/>
      <c r="Z962" s="239"/>
      <c r="AA962" s="239"/>
      <c r="AB962" s="239"/>
      <c r="AC962" s="239"/>
      <c r="AD962" s="239"/>
      <c r="AE962" s="239"/>
      <c r="AF962" s="239"/>
      <c r="AG962" s="239"/>
      <c r="AH962" s="239"/>
      <c r="AI962" s="239"/>
      <c r="AJ962" s="239"/>
      <c r="AK962" s="239"/>
      <c r="AL962" s="239"/>
      <c r="AM962" s="4"/>
      <c r="AN962" s="4"/>
    </row>
    <row r="963" ht="15.75" customHeight="1">
      <c r="A963" s="4"/>
      <c r="B963" s="4"/>
      <c r="C963" s="12"/>
      <c r="D963" s="4"/>
      <c r="E963" s="4"/>
      <c r="F963" s="4"/>
      <c r="G963" s="4"/>
      <c r="H963" s="4"/>
      <c r="I963" s="237"/>
      <c r="J963" s="238"/>
      <c r="K963" s="238"/>
      <c r="L963" s="239"/>
      <c r="M963" s="239"/>
      <c r="N963" s="239"/>
      <c r="O963" s="240"/>
      <c r="P963" s="238"/>
      <c r="Q963" s="241"/>
      <c r="R963" s="239"/>
      <c r="S963" s="239"/>
      <c r="T963" s="239"/>
      <c r="U963" s="240"/>
      <c r="V963" s="238"/>
      <c r="W963" s="242"/>
      <c r="X963" s="239"/>
      <c r="Y963" s="239"/>
      <c r="Z963" s="239"/>
      <c r="AA963" s="239"/>
      <c r="AB963" s="239"/>
      <c r="AC963" s="239"/>
      <c r="AD963" s="239"/>
      <c r="AE963" s="239"/>
      <c r="AF963" s="239"/>
      <c r="AG963" s="239"/>
      <c r="AH963" s="239"/>
      <c r="AI963" s="239"/>
      <c r="AJ963" s="239"/>
      <c r="AK963" s="239"/>
      <c r="AL963" s="239"/>
      <c r="AM963" s="4"/>
      <c r="AN963" s="4"/>
    </row>
    <row r="964" ht="15.75" customHeight="1">
      <c r="A964" s="4"/>
      <c r="B964" s="4"/>
      <c r="C964" s="12"/>
      <c r="D964" s="4"/>
      <c r="E964" s="4"/>
      <c r="F964" s="4"/>
      <c r="G964" s="4"/>
      <c r="H964" s="4"/>
      <c r="I964" s="237"/>
      <c r="J964" s="238"/>
      <c r="K964" s="238"/>
      <c r="L964" s="239"/>
      <c r="M964" s="239"/>
      <c r="N964" s="239"/>
      <c r="O964" s="240"/>
      <c r="P964" s="238"/>
      <c r="Q964" s="241"/>
      <c r="R964" s="239"/>
      <c r="S964" s="239"/>
      <c r="T964" s="239"/>
      <c r="U964" s="240"/>
      <c r="V964" s="238"/>
      <c r="W964" s="242"/>
      <c r="X964" s="239"/>
      <c r="Y964" s="239"/>
      <c r="Z964" s="239"/>
      <c r="AA964" s="239"/>
      <c r="AB964" s="239"/>
      <c r="AC964" s="239"/>
      <c r="AD964" s="239"/>
      <c r="AE964" s="239"/>
      <c r="AF964" s="239"/>
      <c r="AG964" s="239"/>
      <c r="AH964" s="239"/>
      <c r="AI964" s="239"/>
      <c r="AJ964" s="239"/>
      <c r="AK964" s="239"/>
      <c r="AL964" s="239"/>
      <c r="AM964" s="4"/>
      <c r="AN964" s="4"/>
    </row>
    <row r="965" ht="15.75" customHeight="1">
      <c r="A965" s="4"/>
      <c r="B965" s="4"/>
      <c r="C965" s="12"/>
      <c r="D965" s="4"/>
      <c r="E965" s="4"/>
      <c r="F965" s="4"/>
      <c r="G965" s="4"/>
      <c r="H965" s="4"/>
      <c r="I965" s="237"/>
      <c r="J965" s="238"/>
      <c r="K965" s="238"/>
      <c r="L965" s="239"/>
      <c r="M965" s="239"/>
      <c r="N965" s="239"/>
      <c r="O965" s="240"/>
      <c r="P965" s="238"/>
      <c r="Q965" s="241"/>
      <c r="R965" s="239"/>
      <c r="S965" s="239"/>
      <c r="T965" s="239"/>
      <c r="U965" s="240"/>
      <c r="V965" s="238"/>
      <c r="W965" s="242"/>
      <c r="X965" s="239"/>
      <c r="Y965" s="239"/>
      <c r="Z965" s="239"/>
      <c r="AA965" s="239"/>
      <c r="AB965" s="239"/>
      <c r="AC965" s="239"/>
      <c r="AD965" s="239"/>
      <c r="AE965" s="239"/>
      <c r="AF965" s="239"/>
      <c r="AG965" s="239"/>
      <c r="AH965" s="239"/>
      <c r="AI965" s="239"/>
      <c r="AJ965" s="239"/>
      <c r="AK965" s="239"/>
      <c r="AL965" s="239"/>
      <c r="AM965" s="4"/>
      <c r="AN965" s="4"/>
    </row>
    <row r="966" ht="15.75" customHeight="1">
      <c r="A966" s="4"/>
      <c r="B966" s="4"/>
      <c r="C966" s="12"/>
      <c r="D966" s="4"/>
      <c r="E966" s="4"/>
      <c r="F966" s="4"/>
      <c r="G966" s="4"/>
      <c r="H966" s="4"/>
      <c r="I966" s="237"/>
      <c r="J966" s="238"/>
      <c r="K966" s="238"/>
      <c r="L966" s="239"/>
      <c r="M966" s="239"/>
      <c r="N966" s="239"/>
      <c r="O966" s="240"/>
      <c r="P966" s="238"/>
      <c r="Q966" s="241"/>
      <c r="R966" s="239"/>
      <c r="S966" s="239"/>
      <c r="T966" s="239"/>
      <c r="U966" s="240"/>
      <c r="V966" s="238"/>
      <c r="W966" s="242"/>
      <c r="X966" s="239"/>
      <c r="Y966" s="239"/>
      <c r="Z966" s="239"/>
      <c r="AA966" s="239"/>
      <c r="AB966" s="239"/>
      <c r="AC966" s="239"/>
      <c r="AD966" s="239"/>
      <c r="AE966" s="239"/>
      <c r="AF966" s="239"/>
      <c r="AG966" s="239"/>
      <c r="AH966" s="239"/>
      <c r="AI966" s="239"/>
      <c r="AJ966" s="239"/>
      <c r="AK966" s="239"/>
      <c r="AL966" s="239"/>
      <c r="AM966" s="4"/>
      <c r="AN966" s="4"/>
    </row>
    <row r="967" ht="15.75" customHeight="1">
      <c r="A967" s="4"/>
      <c r="B967" s="4"/>
      <c r="C967" s="12"/>
      <c r="D967" s="4"/>
      <c r="E967" s="4"/>
      <c r="F967" s="4"/>
      <c r="G967" s="4"/>
      <c r="H967" s="4"/>
      <c r="I967" s="237"/>
      <c r="J967" s="238"/>
      <c r="K967" s="238"/>
      <c r="L967" s="239"/>
      <c r="M967" s="239"/>
      <c r="N967" s="239"/>
      <c r="O967" s="240"/>
      <c r="P967" s="238"/>
      <c r="Q967" s="241"/>
      <c r="R967" s="239"/>
      <c r="S967" s="239"/>
      <c r="T967" s="239"/>
      <c r="U967" s="240"/>
      <c r="V967" s="238"/>
      <c r="W967" s="242"/>
      <c r="X967" s="239"/>
      <c r="Y967" s="239"/>
      <c r="Z967" s="239"/>
      <c r="AA967" s="239"/>
      <c r="AB967" s="239"/>
      <c r="AC967" s="239"/>
      <c r="AD967" s="239"/>
      <c r="AE967" s="239"/>
      <c r="AF967" s="239"/>
      <c r="AG967" s="239"/>
      <c r="AH967" s="239"/>
      <c r="AI967" s="239"/>
      <c r="AJ967" s="239"/>
      <c r="AK967" s="239"/>
      <c r="AL967" s="239"/>
      <c r="AM967" s="4"/>
      <c r="AN967" s="4"/>
    </row>
    <row r="968" ht="15.75" customHeight="1">
      <c r="A968" s="4"/>
      <c r="B968" s="4"/>
      <c r="C968" s="12"/>
      <c r="D968" s="4"/>
      <c r="E968" s="4"/>
      <c r="F968" s="4"/>
      <c r="G968" s="4"/>
      <c r="H968" s="4"/>
      <c r="I968" s="237"/>
      <c r="J968" s="238"/>
      <c r="K968" s="238"/>
      <c r="L968" s="239"/>
      <c r="M968" s="239"/>
      <c r="N968" s="239"/>
      <c r="O968" s="240"/>
      <c r="P968" s="238"/>
      <c r="Q968" s="241"/>
      <c r="R968" s="239"/>
      <c r="S968" s="239"/>
      <c r="T968" s="239"/>
      <c r="U968" s="240"/>
      <c r="V968" s="238"/>
      <c r="W968" s="242"/>
      <c r="X968" s="239"/>
      <c r="Y968" s="239"/>
      <c r="Z968" s="239"/>
      <c r="AA968" s="239"/>
      <c r="AB968" s="239"/>
      <c r="AC968" s="239"/>
      <c r="AD968" s="239"/>
      <c r="AE968" s="239"/>
      <c r="AF968" s="239"/>
      <c r="AG968" s="239"/>
      <c r="AH968" s="239"/>
      <c r="AI968" s="239"/>
      <c r="AJ968" s="239"/>
      <c r="AK968" s="239"/>
      <c r="AL968" s="239"/>
      <c r="AM968" s="4"/>
      <c r="AN968" s="4"/>
    </row>
    <row r="969" ht="15.75" customHeight="1">
      <c r="A969" s="4"/>
      <c r="B969" s="4"/>
      <c r="C969" s="12"/>
      <c r="D969" s="4"/>
      <c r="E969" s="4"/>
      <c r="F969" s="4"/>
      <c r="G969" s="4"/>
      <c r="H969" s="4"/>
      <c r="I969" s="237"/>
      <c r="J969" s="238"/>
      <c r="K969" s="238"/>
      <c r="L969" s="239"/>
      <c r="M969" s="239"/>
      <c r="N969" s="239"/>
      <c r="O969" s="240"/>
      <c r="P969" s="238"/>
      <c r="Q969" s="241"/>
      <c r="R969" s="239"/>
      <c r="S969" s="239"/>
      <c r="T969" s="239"/>
      <c r="U969" s="240"/>
      <c r="V969" s="238"/>
      <c r="W969" s="242"/>
      <c r="X969" s="239"/>
      <c r="Y969" s="239"/>
      <c r="Z969" s="239"/>
      <c r="AA969" s="239"/>
      <c r="AB969" s="239"/>
      <c r="AC969" s="239"/>
      <c r="AD969" s="239"/>
      <c r="AE969" s="239"/>
      <c r="AF969" s="239"/>
      <c r="AG969" s="239"/>
      <c r="AH969" s="239"/>
      <c r="AI969" s="239"/>
      <c r="AJ969" s="239"/>
      <c r="AK969" s="239"/>
      <c r="AL969" s="239"/>
      <c r="AM969" s="4"/>
      <c r="AN969" s="4"/>
    </row>
    <row r="970" ht="15.75" customHeight="1">
      <c r="A970" s="4"/>
      <c r="B970" s="4"/>
      <c r="C970" s="12"/>
      <c r="D970" s="4"/>
      <c r="E970" s="4"/>
      <c r="F970" s="4"/>
      <c r="G970" s="4"/>
      <c r="H970" s="4"/>
      <c r="I970" s="237"/>
      <c r="J970" s="238"/>
      <c r="K970" s="238"/>
      <c r="L970" s="239"/>
      <c r="M970" s="239"/>
      <c r="N970" s="239"/>
      <c r="O970" s="240"/>
      <c r="P970" s="238"/>
      <c r="Q970" s="241"/>
      <c r="R970" s="239"/>
      <c r="S970" s="239"/>
      <c r="T970" s="239"/>
      <c r="U970" s="240"/>
      <c r="V970" s="238"/>
      <c r="W970" s="242"/>
      <c r="X970" s="239"/>
      <c r="Y970" s="239"/>
      <c r="Z970" s="239"/>
      <c r="AA970" s="239"/>
      <c r="AB970" s="239"/>
      <c r="AC970" s="239"/>
      <c r="AD970" s="239"/>
      <c r="AE970" s="239"/>
      <c r="AF970" s="239"/>
      <c r="AG970" s="239"/>
      <c r="AH970" s="239"/>
      <c r="AI970" s="239"/>
      <c r="AJ970" s="239"/>
      <c r="AK970" s="239"/>
      <c r="AL970" s="239"/>
      <c r="AM970" s="4"/>
      <c r="AN970" s="4"/>
    </row>
    <row r="971" ht="15.75" customHeight="1">
      <c r="A971" s="4"/>
      <c r="B971" s="4"/>
      <c r="C971" s="12"/>
      <c r="D971" s="4"/>
      <c r="E971" s="4"/>
      <c r="F971" s="4"/>
      <c r="G971" s="4"/>
      <c r="H971" s="4"/>
      <c r="I971" s="237"/>
      <c r="J971" s="238"/>
      <c r="K971" s="238"/>
      <c r="L971" s="239"/>
      <c r="M971" s="239"/>
      <c r="N971" s="239"/>
      <c r="O971" s="240"/>
      <c r="P971" s="238"/>
      <c r="Q971" s="241"/>
      <c r="R971" s="239"/>
      <c r="S971" s="239"/>
      <c r="T971" s="239"/>
      <c r="U971" s="240"/>
      <c r="V971" s="238"/>
      <c r="W971" s="242"/>
      <c r="X971" s="239"/>
      <c r="Y971" s="239"/>
      <c r="Z971" s="239"/>
      <c r="AA971" s="239"/>
      <c r="AB971" s="239"/>
      <c r="AC971" s="239"/>
      <c r="AD971" s="239"/>
      <c r="AE971" s="239"/>
      <c r="AF971" s="239"/>
      <c r="AG971" s="239"/>
      <c r="AH971" s="239"/>
      <c r="AI971" s="239"/>
      <c r="AJ971" s="239"/>
      <c r="AK971" s="239"/>
      <c r="AL971" s="239"/>
      <c r="AM971" s="4"/>
      <c r="AN971" s="4"/>
    </row>
    <row r="972" ht="15.75" customHeight="1">
      <c r="A972" s="4"/>
      <c r="B972" s="4"/>
      <c r="C972" s="12"/>
      <c r="D972" s="4"/>
      <c r="E972" s="4"/>
      <c r="F972" s="4"/>
      <c r="G972" s="4"/>
      <c r="H972" s="4"/>
      <c r="I972" s="237"/>
      <c r="J972" s="238"/>
      <c r="K972" s="238"/>
      <c r="L972" s="239"/>
      <c r="M972" s="239"/>
      <c r="N972" s="239"/>
      <c r="O972" s="240"/>
      <c r="P972" s="238"/>
      <c r="Q972" s="241"/>
      <c r="R972" s="239"/>
      <c r="S972" s="239"/>
      <c r="T972" s="239"/>
      <c r="U972" s="240"/>
      <c r="V972" s="238"/>
      <c r="W972" s="242"/>
      <c r="X972" s="239"/>
      <c r="Y972" s="239"/>
      <c r="Z972" s="239"/>
      <c r="AA972" s="239"/>
      <c r="AB972" s="239"/>
      <c r="AC972" s="239"/>
      <c r="AD972" s="239"/>
      <c r="AE972" s="239"/>
      <c r="AF972" s="239"/>
      <c r="AG972" s="239"/>
      <c r="AH972" s="239"/>
      <c r="AI972" s="239"/>
      <c r="AJ972" s="239"/>
      <c r="AK972" s="239"/>
      <c r="AL972" s="239"/>
      <c r="AM972" s="4"/>
      <c r="AN972" s="4"/>
    </row>
    <row r="973" ht="15.75" customHeight="1">
      <c r="A973" s="4"/>
      <c r="B973" s="4"/>
      <c r="C973" s="12"/>
      <c r="D973" s="4"/>
      <c r="E973" s="4"/>
      <c r="F973" s="4"/>
      <c r="G973" s="4"/>
      <c r="H973" s="4"/>
      <c r="I973" s="237"/>
      <c r="J973" s="238"/>
      <c r="K973" s="238"/>
      <c r="L973" s="239"/>
      <c r="M973" s="239"/>
      <c r="N973" s="239"/>
      <c r="O973" s="240"/>
      <c r="P973" s="238"/>
      <c r="Q973" s="241"/>
      <c r="R973" s="239"/>
      <c r="S973" s="239"/>
      <c r="T973" s="239"/>
      <c r="U973" s="240"/>
      <c r="V973" s="238"/>
      <c r="W973" s="242"/>
      <c r="X973" s="239"/>
      <c r="Y973" s="239"/>
      <c r="Z973" s="239"/>
      <c r="AA973" s="239"/>
      <c r="AB973" s="239"/>
      <c r="AC973" s="239"/>
      <c r="AD973" s="239"/>
      <c r="AE973" s="239"/>
      <c r="AF973" s="239"/>
      <c r="AG973" s="239"/>
      <c r="AH973" s="239"/>
      <c r="AI973" s="239"/>
      <c r="AJ973" s="239"/>
      <c r="AK973" s="239"/>
      <c r="AL973" s="239"/>
      <c r="AM973" s="4"/>
      <c r="AN973" s="4"/>
    </row>
    <row r="974" ht="15.75" customHeight="1">
      <c r="A974" s="4"/>
      <c r="B974" s="4"/>
      <c r="C974" s="12"/>
      <c r="D974" s="4"/>
      <c r="E974" s="4"/>
      <c r="F974" s="4"/>
      <c r="G974" s="4"/>
      <c r="H974" s="4"/>
      <c r="I974" s="237"/>
      <c r="J974" s="238"/>
      <c r="K974" s="238"/>
      <c r="L974" s="239"/>
      <c r="M974" s="239"/>
      <c r="N974" s="239"/>
      <c r="O974" s="240"/>
      <c r="P974" s="238"/>
      <c r="Q974" s="241"/>
      <c r="R974" s="239"/>
      <c r="S974" s="239"/>
      <c r="T974" s="239"/>
      <c r="U974" s="240"/>
      <c r="V974" s="238"/>
      <c r="W974" s="242"/>
      <c r="X974" s="239"/>
      <c r="Y974" s="239"/>
      <c r="Z974" s="239"/>
      <c r="AA974" s="239"/>
      <c r="AB974" s="239"/>
      <c r="AC974" s="239"/>
      <c r="AD974" s="239"/>
      <c r="AE974" s="239"/>
      <c r="AF974" s="239"/>
      <c r="AG974" s="239"/>
      <c r="AH974" s="239"/>
      <c r="AI974" s="239"/>
      <c r="AJ974" s="239"/>
      <c r="AK974" s="239"/>
      <c r="AL974" s="239"/>
      <c r="AM974" s="4"/>
      <c r="AN974" s="4"/>
    </row>
    <row r="975" ht="15.75" customHeight="1">
      <c r="A975" s="4"/>
      <c r="B975" s="4"/>
      <c r="C975" s="12"/>
      <c r="D975" s="4"/>
      <c r="E975" s="4"/>
      <c r="F975" s="4"/>
      <c r="G975" s="4"/>
      <c r="H975" s="4"/>
      <c r="I975" s="237"/>
      <c r="J975" s="238"/>
      <c r="K975" s="238"/>
      <c r="L975" s="239"/>
      <c r="M975" s="239"/>
      <c r="N975" s="239"/>
      <c r="O975" s="240"/>
      <c r="P975" s="238"/>
      <c r="Q975" s="241"/>
      <c r="R975" s="239"/>
      <c r="S975" s="239"/>
      <c r="T975" s="239"/>
      <c r="U975" s="240"/>
      <c r="V975" s="238"/>
      <c r="W975" s="242"/>
      <c r="X975" s="239"/>
      <c r="Y975" s="239"/>
      <c r="Z975" s="239"/>
      <c r="AA975" s="239"/>
      <c r="AB975" s="239"/>
      <c r="AC975" s="239"/>
      <c r="AD975" s="239"/>
      <c r="AE975" s="239"/>
      <c r="AF975" s="239"/>
      <c r="AG975" s="239"/>
      <c r="AH975" s="239"/>
      <c r="AI975" s="239"/>
      <c r="AJ975" s="239"/>
      <c r="AK975" s="239"/>
      <c r="AL975" s="239"/>
      <c r="AM975" s="4"/>
      <c r="AN975" s="4"/>
    </row>
    <row r="976" ht="15.75" customHeight="1">
      <c r="A976" s="4"/>
      <c r="B976" s="4"/>
      <c r="C976" s="12"/>
      <c r="D976" s="4"/>
      <c r="E976" s="4"/>
      <c r="F976" s="4"/>
      <c r="G976" s="4"/>
      <c r="H976" s="4"/>
      <c r="I976" s="237"/>
      <c r="J976" s="238"/>
      <c r="K976" s="238"/>
      <c r="L976" s="239"/>
      <c r="M976" s="239"/>
      <c r="N976" s="239"/>
      <c r="O976" s="240"/>
      <c r="P976" s="238"/>
      <c r="Q976" s="241"/>
      <c r="R976" s="239"/>
      <c r="S976" s="239"/>
      <c r="T976" s="239"/>
      <c r="U976" s="240"/>
      <c r="V976" s="238"/>
      <c r="W976" s="242"/>
      <c r="X976" s="239"/>
      <c r="Y976" s="239"/>
      <c r="Z976" s="239"/>
      <c r="AA976" s="239"/>
      <c r="AB976" s="239"/>
      <c r="AC976" s="239"/>
      <c r="AD976" s="239"/>
      <c r="AE976" s="239"/>
      <c r="AF976" s="239"/>
      <c r="AG976" s="239"/>
      <c r="AH976" s="239"/>
      <c r="AI976" s="239"/>
      <c r="AJ976" s="239"/>
      <c r="AK976" s="239"/>
      <c r="AL976" s="239"/>
      <c r="AM976" s="4"/>
      <c r="AN976" s="4"/>
    </row>
    <row r="977" ht="15.75" customHeight="1">
      <c r="A977" s="4"/>
      <c r="B977" s="4"/>
      <c r="C977" s="12"/>
      <c r="D977" s="4"/>
      <c r="E977" s="4"/>
      <c r="F977" s="4"/>
      <c r="G977" s="4"/>
      <c r="H977" s="4"/>
      <c r="I977" s="237"/>
      <c r="J977" s="238"/>
      <c r="K977" s="238"/>
      <c r="L977" s="239"/>
      <c r="M977" s="239"/>
      <c r="N977" s="239"/>
      <c r="O977" s="240"/>
      <c r="P977" s="238"/>
      <c r="Q977" s="241"/>
      <c r="R977" s="239"/>
      <c r="S977" s="239"/>
      <c r="T977" s="239"/>
      <c r="U977" s="240"/>
      <c r="V977" s="238"/>
      <c r="W977" s="242"/>
      <c r="X977" s="239"/>
      <c r="Y977" s="239"/>
      <c r="Z977" s="239"/>
      <c r="AA977" s="239"/>
      <c r="AB977" s="239"/>
      <c r="AC977" s="239"/>
      <c r="AD977" s="239"/>
      <c r="AE977" s="239"/>
      <c r="AF977" s="239"/>
      <c r="AG977" s="239"/>
      <c r="AH977" s="239"/>
      <c r="AI977" s="239"/>
      <c r="AJ977" s="239"/>
      <c r="AK977" s="239"/>
      <c r="AL977" s="239"/>
      <c r="AM977" s="4"/>
      <c r="AN977" s="4"/>
    </row>
    <row r="978" ht="15.75" customHeight="1">
      <c r="A978" s="4"/>
      <c r="B978" s="4"/>
      <c r="C978" s="12"/>
      <c r="D978" s="4"/>
      <c r="E978" s="4"/>
      <c r="F978" s="4"/>
      <c r="G978" s="4"/>
      <c r="H978" s="4"/>
      <c r="I978" s="237"/>
      <c r="J978" s="238"/>
      <c r="K978" s="238"/>
      <c r="L978" s="239"/>
      <c r="M978" s="239"/>
      <c r="N978" s="239"/>
      <c r="O978" s="240"/>
      <c r="P978" s="238"/>
      <c r="Q978" s="241"/>
      <c r="R978" s="239"/>
      <c r="S978" s="239"/>
      <c r="T978" s="239"/>
      <c r="U978" s="240"/>
      <c r="V978" s="238"/>
      <c r="W978" s="242"/>
      <c r="X978" s="239"/>
      <c r="Y978" s="239"/>
      <c r="Z978" s="239"/>
      <c r="AA978" s="239"/>
      <c r="AB978" s="239"/>
      <c r="AC978" s="239"/>
      <c r="AD978" s="239"/>
      <c r="AE978" s="239"/>
      <c r="AF978" s="239"/>
      <c r="AG978" s="239"/>
      <c r="AH978" s="239"/>
      <c r="AI978" s="239"/>
      <c r="AJ978" s="239"/>
      <c r="AK978" s="239"/>
      <c r="AL978" s="239"/>
      <c r="AM978" s="4"/>
      <c r="AN978" s="4"/>
    </row>
    <row r="979" ht="15.75" customHeight="1">
      <c r="A979" s="4"/>
      <c r="B979" s="4"/>
      <c r="C979" s="12"/>
      <c r="D979" s="4"/>
      <c r="E979" s="4"/>
      <c r="F979" s="4"/>
      <c r="G979" s="4"/>
      <c r="H979" s="4"/>
      <c r="I979" s="237"/>
      <c r="J979" s="238"/>
      <c r="K979" s="238"/>
      <c r="L979" s="239"/>
      <c r="M979" s="239"/>
      <c r="N979" s="239"/>
      <c r="O979" s="240"/>
      <c r="P979" s="238"/>
      <c r="Q979" s="241"/>
      <c r="R979" s="239"/>
      <c r="S979" s="239"/>
      <c r="T979" s="239"/>
      <c r="U979" s="240"/>
      <c r="V979" s="238"/>
      <c r="W979" s="242"/>
      <c r="X979" s="239"/>
      <c r="Y979" s="239"/>
      <c r="Z979" s="239"/>
      <c r="AA979" s="239"/>
      <c r="AB979" s="239"/>
      <c r="AC979" s="239"/>
      <c r="AD979" s="239"/>
      <c r="AE979" s="239"/>
      <c r="AF979" s="239"/>
      <c r="AG979" s="239"/>
      <c r="AH979" s="239"/>
      <c r="AI979" s="239"/>
      <c r="AJ979" s="239"/>
      <c r="AK979" s="239"/>
      <c r="AL979" s="239"/>
      <c r="AM979" s="4"/>
      <c r="AN979" s="4"/>
    </row>
    <row r="980" ht="15.75" customHeight="1">
      <c r="A980" s="4"/>
      <c r="B980" s="4"/>
      <c r="C980" s="12"/>
      <c r="D980" s="4"/>
      <c r="E980" s="4"/>
      <c r="F980" s="4"/>
      <c r="G980" s="4"/>
      <c r="H980" s="4"/>
      <c r="I980" s="237"/>
      <c r="J980" s="238"/>
      <c r="K980" s="238"/>
      <c r="L980" s="239"/>
      <c r="M980" s="239"/>
      <c r="N980" s="239"/>
      <c r="O980" s="240"/>
      <c r="P980" s="238"/>
      <c r="Q980" s="241"/>
      <c r="R980" s="239"/>
      <c r="S980" s="239"/>
      <c r="T980" s="239"/>
      <c r="U980" s="240"/>
      <c r="V980" s="238"/>
      <c r="W980" s="242"/>
      <c r="X980" s="239"/>
      <c r="Y980" s="239"/>
      <c r="Z980" s="239"/>
      <c r="AA980" s="239"/>
      <c r="AB980" s="239"/>
      <c r="AC980" s="239"/>
      <c r="AD980" s="239"/>
      <c r="AE980" s="239"/>
      <c r="AF980" s="239"/>
      <c r="AG980" s="239"/>
      <c r="AH980" s="239"/>
      <c r="AI980" s="239"/>
      <c r="AJ980" s="239"/>
      <c r="AK980" s="239"/>
      <c r="AL980" s="239"/>
      <c r="AM980" s="4"/>
      <c r="AN980" s="4"/>
    </row>
    <row r="981" ht="15.75" customHeight="1">
      <c r="A981" s="4"/>
      <c r="B981" s="4"/>
      <c r="C981" s="12"/>
      <c r="D981" s="4"/>
      <c r="E981" s="4"/>
      <c r="F981" s="4"/>
      <c r="G981" s="4"/>
      <c r="H981" s="4"/>
      <c r="I981" s="237"/>
      <c r="J981" s="238"/>
      <c r="K981" s="238"/>
      <c r="L981" s="239"/>
      <c r="M981" s="239"/>
      <c r="N981" s="239"/>
      <c r="O981" s="240"/>
      <c r="P981" s="238"/>
      <c r="Q981" s="241"/>
      <c r="R981" s="239"/>
      <c r="S981" s="239"/>
      <c r="T981" s="239"/>
      <c r="U981" s="240"/>
      <c r="V981" s="238"/>
      <c r="W981" s="242"/>
      <c r="X981" s="239"/>
      <c r="Y981" s="239"/>
      <c r="Z981" s="239"/>
      <c r="AA981" s="239"/>
      <c r="AB981" s="239"/>
      <c r="AC981" s="239"/>
      <c r="AD981" s="239"/>
      <c r="AE981" s="239"/>
      <c r="AF981" s="239"/>
      <c r="AG981" s="239"/>
      <c r="AH981" s="239"/>
      <c r="AI981" s="239"/>
      <c r="AJ981" s="239"/>
      <c r="AK981" s="239"/>
      <c r="AL981" s="239"/>
      <c r="AM981" s="4"/>
      <c r="AN981" s="4"/>
    </row>
    <row r="982" ht="15.75" customHeight="1">
      <c r="A982" s="4"/>
      <c r="B982" s="4"/>
      <c r="C982" s="12"/>
      <c r="D982" s="4"/>
      <c r="E982" s="4"/>
      <c r="F982" s="4"/>
      <c r="G982" s="4"/>
      <c r="H982" s="4"/>
      <c r="I982" s="237"/>
      <c r="J982" s="238"/>
      <c r="K982" s="238"/>
      <c r="L982" s="239"/>
      <c r="M982" s="239"/>
      <c r="N982" s="239"/>
      <c r="O982" s="240"/>
      <c r="P982" s="238"/>
      <c r="Q982" s="241"/>
      <c r="R982" s="239"/>
      <c r="S982" s="239"/>
      <c r="T982" s="239"/>
      <c r="U982" s="240"/>
      <c r="V982" s="238"/>
      <c r="W982" s="242"/>
      <c r="X982" s="239"/>
      <c r="Y982" s="239"/>
      <c r="Z982" s="239"/>
      <c r="AA982" s="239"/>
      <c r="AB982" s="239"/>
      <c r="AC982" s="239"/>
      <c r="AD982" s="239"/>
      <c r="AE982" s="239"/>
      <c r="AF982" s="239"/>
      <c r="AG982" s="239"/>
      <c r="AH982" s="239"/>
      <c r="AI982" s="239"/>
      <c r="AJ982" s="239"/>
      <c r="AK982" s="239"/>
      <c r="AL982" s="239"/>
      <c r="AM982" s="4"/>
      <c r="AN982" s="4"/>
    </row>
    <row r="983" ht="15.75" customHeight="1">
      <c r="A983" s="4"/>
      <c r="B983" s="4"/>
      <c r="C983" s="12"/>
      <c r="D983" s="4"/>
      <c r="E983" s="4"/>
      <c r="F983" s="4"/>
      <c r="G983" s="4"/>
      <c r="H983" s="4"/>
      <c r="I983" s="237"/>
      <c r="J983" s="238"/>
      <c r="K983" s="238"/>
      <c r="L983" s="239"/>
      <c r="M983" s="239"/>
      <c r="N983" s="239"/>
      <c r="O983" s="240"/>
      <c r="P983" s="238"/>
      <c r="Q983" s="241"/>
      <c r="R983" s="239"/>
      <c r="S983" s="239"/>
      <c r="T983" s="239"/>
      <c r="U983" s="240"/>
      <c r="V983" s="238"/>
      <c r="W983" s="242"/>
      <c r="X983" s="239"/>
      <c r="Y983" s="239"/>
      <c r="Z983" s="239"/>
      <c r="AA983" s="239"/>
      <c r="AB983" s="239"/>
      <c r="AC983" s="239"/>
      <c r="AD983" s="239"/>
      <c r="AE983" s="239"/>
      <c r="AF983" s="239"/>
      <c r="AG983" s="239"/>
      <c r="AH983" s="239"/>
      <c r="AI983" s="239"/>
      <c r="AJ983" s="239"/>
      <c r="AK983" s="239"/>
      <c r="AL983" s="239"/>
      <c r="AM983" s="4"/>
      <c r="AN983" s="4"/>
    </row>
  </sheetData>
  <mergeCells count="42">
    <mergeCell ref="D1:G1"/>
    <mergeCell ref="D2:G2"/>
    <mergeCell ref="D3:G3"/>
    <mergeCell ref="E6:I6"/>
    <mergeCell ref="E7:M7"/>
    <mergeCell ref="N7:O7"/>
    <mergeCell ref="P7:W7"/>
    <mergeCell ref="N9:O9"/>
    <mergeCell ref="P9:W9"/>
    <mergeCell ref="C9:D9"/>
    <mergeCell ref="C11:D12"/>
    <mergeCell ref="C14:C16"/>
    <mergeCell ref="D14:E16"/>
    <mergeCell ref="C7:D7"/>
    <mergeCell ref="C8:D8"/>
    <mergeCell ref="E8:M8"/>
    <mergeCell ref="N8:O8"/>
    <mergeCell ref="P8:W8"/>
    <mergeCell ref="E9:M9"/>
    <mergeCell ref="C10:W10"/>
    <mergeCell ref="L14:Q14"/>
    <mergeCell ref="R14:W14"/>
    <mergeCell ref="X14:AL14"/>
    <mergeCell ref="E11:M11"/>
    <mergeCell ref="N11:Q12"/>
    <mergeCell ref="R11:W11"/>
    <mergeCell ref="E12:M12"/>
    <mergeCell ref="R12:W12"/>
    <mergeCell ref="C13:W13"/>
    <mergeCell ref="F14:K14"/>
    <mergeCell ref="Q15:Q16"/>
    <mergeCell ref="R15:T15"/>
    <mergeCell ref="U15:U16"/>
    <mergeCell ref="V15:V16"/>
    <mergeCell ref="W15:W16"/>
    <mergeCell ref="F15:H15"/>
    <mergeCell ref="I15:I16"/>
    <mergeCell ref="J15:J16"/>
    <mergeCell ref="K15:K16"/>
    <mergeCell ref="L15:N15"/>
    <mergeCell ref="O15:O16"/>
    <mergeCell ref="P15:P16"/>
  </mergeCells>
  <conditionalFormatting sqref="E11">
    <cfRule type="notContainsText" dxfId="3" priority="1" operator="notContains" text="&lt;TYPE YOUR FULL NAME HERE&gt;">
      <formula>ISERROR(SEARCH(("&lt;TYPE YOUR FULL NAME HERE&gt;"),(E11)))</formula>
    </cfRule>
  </conditionalFormatting>
  <conditionalFormatting sqref="W17:W19">
    <cfRule type="cellIs" dxfId="6" priority="2" operator="greaterThanOrEqual">
      <formula>5</formula>
    </cfRule>
  </conditionalFormatting>
  <conditionalFormatting sqref="V17:V19">
    <cfRule type="cellIs" dxfId="7" priority="3" operator="lessThan">
      <formula>75</formula>
    </cfRule>
  </conditionalFormatting>
  <drawing r:id="rId1"/>
  <tableParts count="1">
    <tablePart r:id="rId3"/>
  </tableParts>
</worksheet>
</file>